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10" activeTab="2"/>
  </bookViews>
  <sheets>
    <sheet name="INFO ROUTE" sheetId="1" r:id="rId1"/>
    <sheet name="KLM TO INFO FARE" sheetId="2" r:id="rId2"/>
    <sheet name="INFO TO KLM FAR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1" i="1" l="1"/>
  <c r="H51" i="1"/>
  <c r="E51" i="1"/>
  <c r="S50" i="1"/>
  <c r="K50" i="1"/>
  <c r="H50" i="1"/>
  <c r="E50" i="1"/>
  <c r="S49" i="1"/>
  <c r="H49" i="1"/>
  <c r="E49" i="1"/>
  <c r="S48" i="1"/>
  <c r="S47" i="1"/>
  <c r="E47" i="1"/>
  <c r="S46" i="1"/>
  <c r="H46" i="1"/>
  <c r="E46" i="1"/>
  <c r="S45" i="1"/>
  <c r="K45" i="1"/>
  <c r="H45" i="1"/>
  <c r="S43" i="1"/>
  <c r="H43" i="1"/>
  <c r="E43" i="1"/>
  <c r="S42" i="1"/>
  <c r="Q42" i="1"/>
  <c r="N42" i="1"/>
  <c r="K42" i="1"/>
  <c r="H42" i="1"/>
  <c r="S41" i="1"/>
  <c r="H41" i="1"/>
  <c r="E41" i="1"/>
  <c r="S40" i="1"/>
  <c r="Q40" i="1"/>
  <c r="N40" i="1"/>
  <c r="K40" i="1"/>
  <c r="I40" i="1"/>
  <c r="J40" i="1" s="1"/>
  <c r="L40" i="1" s="1"/>
  <c r="M40" i="1" s="1"/>
  <c r="O40" i="1" s="1"/>
  <c r="P40" i="1" s="1"/>
  <c r="R40" i="1" s="1"/>
  <c r="G45" i="1" s="1"/>
  <c r="I45" i="1" s="1"/>
  <c r="J45" i="1" s="1"/>
  <c r="L45" i="1" s="1"/>
  <c r="G49" i="1" s="1"/>
  <c r="I49" i="1" s="1"/>
  <c r="D49" i="1" s="1"/>
  <c r="H40" i="1"/>
  <c r="S39" i="1"/>
  <c r="K39" i="1"/>
  <c r="H39" i="1"/>
  <c r="E39" i="1"/>
  <c r="S38" i="1"/>
  <c r="E38" i="1"/>
  <c r="S37" i="1"/>
  <c r="S36" i="1"/>
  <c r="K36" i="1"/>
  <c r="E36" i="1"/>
  <c r="S35" i="1"/>
  <c r="G35" i="1"/>
  <c r="I35" i="1" s="1"/>
  <c r="D36" i="1" s="1"/>
  <c r="F36" i="1" s="1"/>
  <c r="G36" i="1" s="1"/>
  <c r="I36" i="1" s="1"/>
  <c r="J36" i="1" s="1"/>
  <c r="L36" i="1" s="1"/>
  <c r="G37" i="1" s="1"/>
  <c r="I37" i="1" s="1"/>
  <c r="D38" i="1" s="1"/>
  <c r="F38" i="1" s="1"/>
  <c r="C38" i="1" s="1"/>
  <c r="D39" i="1" s="1"/>
  <c r="F39" i="1" s="1"/>
  <c r="G39" i="1" s="1"/>
  <c r="I39" i="1" s="1"/>
  <c r="J39" i="1" s="1"/>
  <c r="L39" i="1" s="1"/>
  <c r="G43" i="1" s="1"/>
  <c r="I43" i="1" s="1"/>
  <c r="D43" i="1" s="1"/>
  <c r="S34" i="1"/>
  <c r="S33" i="1"/>
  <c r="Q33" i="1"/>
  <c r="N33" i="1"/>
  <c r="L33" i="1"/>
  <c r="M33" i="1" s="1"/>
  <c r="O33" i="1" s="1"/>
  <c r="P33" i="1" s="1"/>
  <c r="R33" i="1" s="1"/>
  <c r="G41" i="1" s="1"/>
  <c r="I41" i="1" s="1"/>
  <c r="F41" i="1" s="1"/>
  <c r="J33" i="1"/>
  <c r="H33" i="1"/>
  <c r="G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C43" i="1" l="1"/>
  <c r="B43" i="1" s="1"/>
  <c r="F43" i="1"/>
  <c r="D41" i="1"/>
  <c r="G42" i="1"/>
  <c r="I42" i="1" s="1"/>
  <c r="J42" i="1" s="1"/>
  <c r="F49" i="1"/>
  <c r="C49" i="1"/>
  <c r="D50" i="1" s="1"/>
  <c r="M42" i="1" l="1"/>
  <c r="O42" i="1" s="1"/>
  <c r="P42" i="1" s="1"/>
  <c r="R42" i="1" s="1"/>
  <c r="G46" i="1" s="1"/>
  <c r="I46" i="1" s="1"/>
  <c r="D46" i="1" s="1"/>
  <c r="L42" i="1"/>
  <c r="F50" i="1"/>
  <c r="G50" i="1"/>
  <c r="I50" i="1" s="1"/>
  <c r="J50" i="1" s="1"/>
  <c r="L50" i="1" s="1"/>
  <c r="G51" i="1" s="1"/>
  <c r="I51" i="1" s="1"/>
  <c r="D51" i="1" s="1"/>
  <c r="F51" i="1" s="1"/>
  <c r="C51" i="1" s="1"/>
  <c r="B51" i="1" s="1"/>
  <c r="C46" i="1" l="1"/>
  <c r="D47" i="1" s="1"/>
  <c r="F47" i="1" s="1"/>
  <c r="C48" i="1" s="1"/>
  <c r="B48" i="1" s="1"/>
  <c r="F46" i="1"/>
</calcChain>
</file>

<file path=xl/sharedStrings.xml><?xml version="1.0" encoding="utf-8"?>
<sst xmlns="http://schemas.openxmlformats.org/spreadsheetml/2006/main" count="404" uniqueCount="34">
  <si>
    <t>KAKKANAD BUS TIME TABLE</t>
  </si>
  <si>
    <t>Bus No.</t>
  </si>
  <si>
    <t>MUTTOM</t>
  </si>
  <si>
    <t>KALAMASSERY</t>
  </si>
  <si>
    <t>KAKKANAD CIVIL STATION</t>
  </si>
  <si>
    <t>KAKKANAD WATER METRO</t>
  </si>
  <si>
    <t>INFOPARK</t>
  </si>
  <si>
    <t>INFOPARK PHASE  2</t>
  </si>
  <si>
    <t>Departure</t>
  </si>
  <si>
    <t>Arrival</t>
  </si>
  <si>
    <t>Halt</t>
  </si>
  <si>
    <t>km</t>
  </si>
  <si>
    <t>BUS 1</t>
  </si>
  <si>
    <t>-</t>
  </si>
  <si>
    <t>BUS 2</t>
  </si>
  <si>
    <t>BUS 3</t>
  </si>
  <si>
    <t>Start Point ID</t>
  </si>
  <si>
    <t>Start point name</t>
  </si>
  <si>
    <t>End Point Id</t>
  </si>
  <si>
    <t>End Point name</t>
  </si>
  <si>
    <t>Price Adult</t>
  </si>
  <si>
    <t>Kalamassery MS</t>
  </si>
  <si>
    <t>HMT Jn.</t>
  </si>
  <si>
    <t>Toshiba Jn.</t>
  </si>
  <si>
    <t>Vallathol Jn.</t>
  </si>
  <si>
    <t>Bharat Mata College</t>
  </si>
  <si>
    <t>Kakkanad Jn.</t>
  </si>
  <si>
    <t>SEZ</t>
  </si>
  <si>
    <t>Bhavans School</t>
  </si>
  <si>
    <t>Kakkanad WM</t>
  </si>
  <si>
    <t>Rajagiri</t>
  </si>
  <si>
    <t>Sheratton</t>
  </si>
  <si>
    <t>Infopark Phase 1</t>
  </si>
  <si>
    <t>Infopark 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</si>
</sst>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1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ptos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ptos"/>
      <family val="2"/>
    </font>
    <font>
      <b/>
      <sz val="11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/>
    <xf numFmtId="164" fontId="4" fillId="2" borderId="1" xfId="0" applyNumberFormat="1" applyFont="1" applyFill="1" applyBorder="1" applyAlignment="1">
      <alignment wrapText="1"/>
    </xf>
    <xf numFmtId="164" fontId="4" fillId="2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/>
    <xf numFmtId="164" fontId="6" fillId="2" borderId="1" xfId="0" applyNumberFormat="1" applyFont="1" applyFill="1" applyBorder="1"/>
    <xf numFmtId="164" fontId="7" fillId="2" borderId="1" xfId="0" applyNumberFormat="1" applyFont="1" applyFill="1" applyBorder="1"/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164" fontId="0" fillId="3" borderId="1" xfId="0" applyNumberFormat="1" applyFill="1" applyBorder="1"/>
    <xf numFmtId="164" fontId="8" fillId="3" borderId="1" xfId="0" applyNumberFormat="1" applyFont="1" applyFill="1" applyBorder="1"/>
    <xf numFmtId="164" fontId="9" fillId="3" borderId="1" xfId="0" applyNumberFormat="1" applyFont="1" applyFill="1" applyBorder="1"/>
    <xf numFmtId="0" fontId="10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164" fontId="0" fillId="4" borderId="1" xfId="0" applyNumberFormat="1" applyFill="1" applyBorder="1"/>
    <xf numFmtId="164" fontId="8" fillId="4" borderId="1" xfId="0" applyNumberFormat="1" applyFont="1" applyFill="1" applyBorder="1"/>
    <xf numFmtId="164" fontId="9" fillId="4" borderId="1" xfId="0" applyNumberFormat="1" applyFont="1" applyFill="1" applyBorder="1"/>
    <xf numFmtId="0" fontId="10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164" fontId="0" fillId="6" borderId="1" xfId="0" applyNumberFormat="1" applyFill="1" applyBorder="1"/>
    <xf numFmtId="164" fontId="8" fillId="6" borderId="1" xfId="0" applyNumberFormat="1" applyFont="1" applyFill="1" applyBorder="1"/>
    <xf numFmtId="164" fontId="9" fillId="6" borderId="1" xfId="0" applyNumberFormat="1" applyFont="1" applyFill="1" applyBorder="1"/>
    <xf numFmtId="0" fontId="10" fillId="6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/>
    <xf numFmtId="164" fontId="9" fillId="4" borderId="0" xfId="0" applyNumberFormat="1" applyFont="1" applyFill="1"/>
    <xf numFmtId="164" fontId="11" fillId="3" borderId="1" xfId="0" applyNumberFormat="1" applyFont="1" applyFill="1" applyBorder="1"/>
    <xf numFmtId="164" fontId="11" fillId="4" borderId="1" xfId="0" applyNumberFormat="1" applyFont="1" applyFill="1" applyBorder="1"/>
    <xf numFmtId="164" fontId="11" fillId="6" borderId="1" xfId="0" applyNumberFormat="1" applyFont="1" applyFill="1" applyBorder="1"/>
    <xf numFmtId="164" fontId="0" fillId="7" borderId="1" xfId="0" applyNumberFormat="1" applyFill="1" applyBorder="1"/>
    <xf numFmtId="164" fontId="9" fillId="6" borderId="0" xfId="0" applyNumberFormat="1" applyFont="1" applyFill="1"/>
    <xf numFmtId="164" fontId="0" fillId="8" borderId="1" xfId="0" applyNumberFormat="1" applyFill="1" applyBorder="1"/>
    <xf numFmtId="164" fontId="0" fillId="4" borderId="0" xfId="0" applyNumberFormat="1" applyFill="1"/>
    <xf numFmtId="164" fontId="0" fillId="9" borderId="1" xfId="0" applyNumberFormat="1" applyFill="1" applyBorder="1"/>
    <xf numFmtId="164" fontId="0" fillId="10" borderId="1" xfId="0" applyNumberFormat="1" applyFill="1" applyBorder="1"/>
    <xf numFmtId="0" fontId="10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opLeftCell="A19" workbookViewId="0">
      <selection activeCell="X15" sqref="X15"/>
    </sheetView>
  </sheetViews>
  <sheetFormatPr defaultRowHeight="15"/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</row>
    <row r="2" spans="1:19" ht="26.25">
      <c r="A2" s="3" t="s">
        <v>1</v>
      </c>
      <c r="B2" s="4" t="s">
        <v>2</v>
      </c>
      <c r="C2" s="4" t="s">
        <v>3</v>
      </c>
      <c r="D2" s="5" t="s">
        <v>4</v>
      </c>
      <c r="E2" s="5"/>
      <c r="F2" s="5"/>
      <c r="G2" s="5" t="s">
        <v>5</v>
      </c>
      <c r="H2" s="5"/>
      <c r="I2" s="5"/>
      <c r="J2" s="5" t="s">
        <v>6</v>
      </c>
      <c r="K2" s="5"/>
      <c r="L2" s="5"/>
      <c r="M2" s="5" t="s">
        <v>7</v>
      </c>
      <c r="N2" s="5"/>
      <c r="O2" s="5"/>
      <c r="P2" s="5" t="s">
        <v>6</v>
      </c>
      <c r="Q2" s="5"/>
      <c r="R2" s="5"/>
      <c r="S2" s="6"/>
    </row>
    <row r="3" spans="1:19">
      <c r="A3" s="3"/>
      <c r="B3" s="7" t="s">
        <v>8</v>
      </c>
      <c r="C3" s="7" t="s">
        <v>8</v>
      </c>
      <c r="D3" s="7" t="s">
        <v>9</v>
      </c>
      <c r="E3" s="7" t="s">
        <v>10</v>
      </c>
      <c r="F3" s="7" t="s">
        <v>8</v>
      </c>
      <c r="G3" s="8" t="s">
        <v>9</v>
      </c>
      <c r="H3" s="8" t="s">
        <v>10</v>
      </c>
      <c r="I3" s="9" t="s">
        <v>8</v>
      </c>
      <c r="J3" s="7" t="s">
        <v>9</v>
      </c>
      <c r="K3" s="7" t="s">
        <v>10</v>
      </c>
      <c r="L3" s="7" t="s">
        <v>8</v>
      </c>
      <c r="M3" s="7" t="s">
        <v>9</v>
      </c>
      <c r="N3" s="7" t="s">
        <v>10</v>
      </c>
      <c r="O3" s="7" t="s">
        <v>8</v>
      </c>
      <c r="P3" s="7" t="s">
        <v>9</v>
      </c>
      <c r="Q3" s="7" t="s">
        <v>10</v>
      </c>
      <c r="R3" s="7" t="s">
        <v>8</v>
      </c>
      <c r="S3" s="10" t="s">
        <v>11</v>
      </c>
    </row>
    <row r="4" spans="1:19">
      <c r="A4" s="11" t="s">
        <v>12</v>
      </c>
      <c r="B4" s="12">
        <v>0.29166666666666669</v>
      </c>
      <c r="C4" s="12">
        <v>0.2986111111111111</v>
      </c>
      <c r="D4" s="12" t="s">
        <v>13</v>
      </c>
      <c r="E4" s="12" t="s">
        <v>13</v>
      </c>
      <c r="F4" s="12">
        <v>0.30902777777777779</v>
      </c>
      <c r="G4" s="13">
        <v>0.31944444444444448</v>
      </c>
      <c r="H4" s="13">
        <v>0</v>
      </c>
      <c r="I4" s="14">
        <v>0.31944444444444448</v>
      </c>
      <c r="J4" s="12"/>
      <c r="K4" s="12"/>
      <c r="L4" s="12"/>
      <c r="M4" s="12"/>
      <c r="N4" s="12"/>
      <c r="O4" s="12"/>
      <c r="P4" s="12"/>
      <c r="Q4" s="12"/>
      <c r="R4" s="12"/>
      <c r="S4" s="15">
        <f>3+7+3</f>
        <v>13</v>
      </c>
    </row>
    <row r="5" spans="1:19">
      <c r="A5" s="16" t="s">
        <v>14</v>
      </c>
      <c r="B5" s="17">
        <v>0.30555555555555558</v>
      </c>
      <c r="C5" s="17">
        <v>0.3125</v>
      </c>
      <c r="D5" s="17" t="s">
        <v>13</v>
      </c>
      <c r="E5" s="17" t="s">
        <v>13</v>
      </c>
      <c r="F5" s="17">
        <v>0.32291666666666669</v>
      </c>
      <c r="G5" s="18">
        <v>0.33333333333333337</v>
      </c>
      <c r="H5" s="18">
        <v>2.7777777777777779E-3</v>
      </c>
      <c r="I5" s="19">
        <v>0.33611111111111114</v>
      </c>
      <c r="J5" s="17">
        <v>0.34513888888888894</v>
      </c>
      <c r="K5" s="17">
        <v>6.9444444444444447E-4</v>
      </c>
      <c r="L5" s="17">
        <v>0.34583333333333338</v>
      </c>
      <c r="M5" s="17"/>
      <c r="N5" s="17"/>
      <c r="O5" s="17"/>
      <c r="P5" s="17"/>
      <c r="Q5" s="17"/>
      <c r="R5" s="17"/>
      <c r="S5" s="20">
        <f>3+7+3</f>
        <v>13</v>
      </c>
    </row>
    <row r="6" spans="1:19">
      <c r="A6" s="21" t="s">
        <v>15</v>
      </c>
      <c r="B6" s="22">
        <v>0.31944444444444442</v>
      </c>
      <c r="C6" s="22">
        <v>0.32638888888888884</v>
      </c>
      <c r="D6" s="22" t="s">
        <v>13</v>
      </c>
      <c r="E6" s="22" t="s">
        <v>13</v>
      </c>
      <c r="F6" s="22">
        <v>0.33680555555555552</v>
      </c>
      <c r="G6" s="23">
        <v>0.34722222222222221</v>
      </c>
      <c r="H6" s="23">
        <v>2.7777777777777779E-3</v>
      </c>
      <c r="I6" s="24">
        <v>0.35</v>
      </c>
      <c r="J6" s="22">
        <v>0.35902777777777778</v>
      </c>
      <c r="K6" s="22">
        <v>6.9444444444444447E-4</v>
      </c>
      <c r="L6" s="22">
        <v>0.35972222222222222</v>
      </c>
      <c r="M6" s="22">
        <v>0.3659722222222222</v>
      </c>
      <c r="N6" s="22">
        <v>6.9444444444444447E-4</v>
      </c>
      <c r="O6" s="22">
        <v>0.36666666666666664</v>
      </c>
      <c r="P6" s="22">
        <v>0.37222222222222218</v>
      </c>
      <c r="Q6" s="22">
        <v>0</v>
      </c>
      <c r="R6" s="22">
        <v>0.37222222222222218</v>
      </c>
      <c r="S6" s="25">
        <f>3+7+3+3+3+2</f>
        <v>21</v>
      </c>
    </row>
    <row r="7" spans="1:19">
      <c r="A7" s="11" t="s">
        <v>12</v>
      </c>
      <c r="B7" s="12"/>
      <c r="C7" s="12">
        <v>0.34027777777777779</v>
      </c>
      <c r="D7" s="12" t="s">
        <v>13</v>
      </c>
      <c r="E7" s="12" t="s">
        <v>13</v>
      </c>
      <c r="F7" s="12">
        <v>0.35069444444444448</v>
      </c>
      <c r="G7" s="13">
        <v>0.36111111111111116</v>
      </c>
      <c r="H7" s="13">
        <v>3.472222222222222E-3</v>
      </c>
      <c r="I7" s="14">
        <v>0.36458333333333337</v>
      </c>
      <c r="J7" s="12">
        <v>0.37500000000000006</v>
      </c>
      <c r="K7" s="12">
        <v>1.3888888888888889E-3</v>
      </c>
      <c r="L7" s="12">
        <v>0.37638888888888894</v>
      </c>
      <c r="M7" s="12">
        <v>0.38333333333333336</v>
      </c>
      <c r="N7" s="26">
        <v>1.3888888888888889E-3</v>
      </c>
      <c r="O7" s="12">
        <v>0.38472222222222224</v>
      </c>
      <c r="P7" s="12">
        <v>0.39027777777777778</v>
      </c>
      <c r="Q7" s="26">
        <v>1.3888888888888889E-3</v>
      </c>
      <c r="R7" s="12">
        <v>0.39166666666666666</v>
      </c>
      <c r="S7" s="15">
        <f>3+7+7+3+3+3+2</f>
        <v>28</v>
      </c>
    </row>
    <row r="8" spans="1:19">
      <c r="A8" s="16" t="s">
        <v>14</v>
      </c>
      <c r="B8" s="17"/>
      <c r="C8" s="17">
        <v>0.3756944444444445</v>
      </c>
      <c r="D8" s="17">
        <v>0.3618055555555556</v>
      </c>
      <c r="E8" s="17"/>
      <c r="F8" s="17">
        <v>0.3618055555555556</v>
      </c>
      <c r="G8" s="18">
        <v>0.35138888888888892</v>
      </c>
      <c r="H8" s="18">
        <v>0</v>
      </c>
      <c r="I8" s="27">
        <v>0.35138888888888892</v>
      </c>
      <c r="J8" s="17"/>
      <c r="K8" s="17"/>
      <c r="L8" s="17"/>
      <c r="M8" s="17"/>
      <c r="N8" s="17"/>
      <c r="O8" s="17"/>
      <c r="P8" s="17"/>
      <c r="Q8" s="17"/>
      <c r="R8" s="17"/>
      <c r="S8" s="20">
        <f>3+3+7</f>
        <v>13</v>
      </c>
    </row>
    <row r="9" spans="1:19">
      <c r="A9" s="16" t="s">
        <v>14</v>
      </c>
      <c r="B9" s="17"/>
      <c r="C9" s="17"/>
      <c r="D9" s="17"/>
      <c r="E9" s="17"/>
      <c r="F9" s="17">
        <v>0.38611111111111118</v>
      </c>
      <c r="G9" s="18">
        <v>0.39652777777777781</v>
      </c>
      <c r="H9" s="18">
        <v>0</v>
      </c>
      <c r="I9" s="19">
        <v>0.39652777777777781</v>
      </c>
      <c r="J9" s="17">
        <v>0.40555555555555561</v>
      </c>
      <c r="K9" s="17">
        <v>6.9444444444444447E-4</v>
      </c>
      <c r="L9" s="17">
        <v>0.40625000000000006</v>
      </c>
      <c r="M9" s="17">
        <v>0.41250000000000003</v>
      </c>
      <c r="N9" s="17">
        <v>1.3888888888888889E-3</v>
      </c>
      <c r="O9" s="17">
        <v>0.41388888888888892</v>
      </c>
      <c r="P9" s="17">
        <v>0.41944444444444445</v>
      </c>
      <c r="Q9" s="17">
        <v>1.3888888888888889E-3</v>
      </c>
      <c r="R9" s="17">
        <v>0.42083333333333334</v>
      </c>
      <c r="S9" s="20">
        <f>7+3+3+3+2</f>
        <v>18</v>
      </c>
    </row>
    <row r="10" spans="1:19">
      <c r="A10" s="21" t="s">
        <v>15</v>
      </c>
      <c r="B10" s="22"/>
      <c r="C10" s="22"/>
      <c r="D10" s="22"/>
      <c r="E10" s="22"/>
      <c r="F10" s="22"/>
      <c r="G10" s="23">
        <v>0.37777777777777771</v>
      </c>
      <c r="H10" s="23">
        <v>6.9444444444444447E-4</v>
      </c>
      <c r="I10" s="24">
        <v>0.37847222222222215</v>
      </c>
      <c r="J10" s="22">
        <v>0.38888888888888884</v>
      </c>
      <c r="K10" s="22">
        <v>6.9444444444444447E-4</v>
      </c>
      <c r="L10" s="22">
        <v>0.38958333333333328</v>
      </c>
      <c r="M10" s="22">
        <v>0.3965277777777777</v>
      </c>
      <c r="N10" s="22">
        <v>1.3888888888888889E-3</v>
      </c>
      <c r="O10" s="22">
        <v>0.39791666666666659</v>
      </c>
      <c r="P10" s="22">
        <v>0.40347222222222212</v>
      </c>
      <c r="Q10" s="22">
        <v>2.0833333333333333E-3</v>
      </c>
      <c r="R10" s="22">
        <v>0.40555555555555545</v>
      </c>
      <c r="S10" s="25">
        <f>3+3+3+3</f>
        <v>12</v>
      </c>
    </row>
    <row r="11" spans="1:19">
      <c r="A11" s="11" t="s">
        <v>12</v>
      </c>
      <c r="B11" s="12"/>
      <c r="C11" s="12"/>
      <c r="D11" s="12">
        <v>0.4145833333333333</v>
      </c>
      <c r="E11" s="12">
        <v>3.472222222222222E-3</v>
      </c>
      <c r="F11" s="12">
        <v>0.41805555555555551</v>
      </c>
      <c r="G11" s="13">
        <v>0.3972222222222222</v>
      </c>
      <c r="H11" s="13">
        <v>6.9444444444444441E-3</v>
      </c>
      <c r="I11" s="14">
        <v>0.40416666666666662</v>
      </c>
      <c r="J11" s="12"/>
      <c r="K11" s="12"/>
      <c r="L11" s="12"/>
      <c r="M11" s="12"/>
      <c r="N11" s="12"/>
      <c r="O11" s="12"/>
      <c r="P11" s="12"/>
      <c r="Q11" s="12"/>
      <c r="R11" s="12"/>
      <c r="S11" s="15">
        <f t="shared" ref="S11:S16" si="0">3+3</f>
        <v>6</v>
      </c>
    </row>
    <row r="12" spans="1:19">
      <c r="A12" s="16" t="s">
        <v>14</v>
      </c>
      <c r="B12" s="17"/>
      <c r="C12" s="17"/>
      <c r="D12" s="17"/>
      <c r="E12" s="17"/>
      <c r="F12" s="17"/>
      <c r="G12" s="18">
        <v>0.42638888888888887</v>
      </c>
      <c r="H12" s="18">
        <v>3.472222222222222E-3</v>
      </c>
      <c r="I12" s="19">
        <v>0.42986111111111108</v>
      </c>
      <c r="J12" s="17">
        <v>0.44027777777777777</v>
      </c>
      <c r="K12" s="17">
        <v>2.7777777777777779E-3</v>
      </c>
      <c r="L12" s="17">
        <v>0.44305555555555554</v>
      </c>
      <c r="M12" s="17"/>
      <c r="N12" s="17"/>
      <c r="O12" s="17"/>
      <c r="P12" s="17"/>
      <c r="Q12" s="17"/>
      <c r="R12" s="17"/>
      <c r="S12" s="20">
        <f t="shared" si="0"/>
        <v>6</v>
      </c>
    </row>
    <row r="13" spans="1:19">
      <c r="A13" s="21" t="s">
        <v>15</v>
      </c>
      <c r="B13" s="22"/>
      <c r="C13" s="22"/>
      <c r="D13" s="22"/>
      <c r="E13" s="22"/>
      <c r="F13" s="22"/>
      <c r="G13" s="23">
        <v>0.41111111111111098</v>
      </c>
      <c r="H13" s="23">
        <v>0</v>
      </c>
      <c r="I13" s="24">
        <v>0.41111111111111098</v>
      </c>
      <c r="J13" s="22">
        <v>0.42152777777777767</v>
      </c>
      <c r="K13" s="22">
        <v>2.0833333333333333E-3</v>
      </c>
      <c r="L13" s="22">
        <v>0.42361111111111099</v>
      </c>
      <c r="M13" s="22"/>
      <c r="N13" s="22"/>
      <c r="O13" s="22"/>
      <c r="P13" s="22"/>
      <c r="Q13" s="22"/>
      <c r="R13" s="22"/>
      <c r="S13" s="25">
        <f t="shared" si="0"/>
        <v>6</v>
      </c>
    </row>
    <row r="14" spans="1:19">
      <c r="A14" s="11" t="s">
        <v>12</v>
      </c>
      <c r="B14" s="12"/>
      <c r="C14" s="12"/>
      <c r="D14" s="12"/>
      <c r="E14" s="12"/>
      <c r="F14" s="12"/>
      <c r="G14" s="13">
        <v>0.4284722222222222</v>
      </c>
      <c r="H14" s="28">
        <v>1.7361111111111112E-2</v>
      </c>
      <c r="I14" s="14">
        <v>0.4458333333333333</v>
      </c>
      <c r="J14" s="12">
        <v>0.45624999999999999</v>
      </c>
      <c r="K14" s="12">
        <v>1.3888888888888889E-3</v>
      </c>
      <c r="L14" s="12">
        <v>0.45763888888888887</v>
      </c>
      <c r="M14" s="12"/>
      <c r="N14" s="12"/>
      <c r="O14" s="12"/>
      <c r="P14" s="12"/>
      <c r="Q14" s="12"/>
      <c r="R14" s="12"/>
      <c r="S14" s="15">
        <f t="shared" si="0"/>
        <v>6</v>
      </c>
    </row>
    <row r="15" spans="1:19">
      <c r="A15" s="16" t="s">
        <v>14</v>
      </c>
      <c r="B15" s="17"/>
      <c r="C15" s="17"/>
      <c r="D15" s="17"/>
      <c r="E15" s="17"/>
      <c r="F15" s="17"/>
      <c r="G15" s="18">
        <v>0.44861111111111107</v>
      </c>
      <c r="H15" s="29">
        <v>2.013888888888889E-2</v>
      </c>
      <c r="I15" s="19">
        <v>0.46874999999999994</v>
      </c>
      <c r="J15" s="17">
        <v>0.47916666666666663</v>
      </c>
      <c r="K15" s="17">
        <v>2.0833333333333333E-3</v>
      </c>
      <c r="L15" s="17">
        <v>0.48124999999999996</v>
      </c>
      <c r="M15" s="17"/>
      <c r="N15" s="17"/>
      <c r="O15" s="17"/>
      <c r="P15" s="17"/>
      <c r="Q15" s="17"/>
      <c r="R15" s="17"/>
      <c r="S15" s="20">
        <f t="shared" si="0"/>
        <v>6</v>
      </c>
    </row>
    <row r="16" spans="1:19">
      <c r="A16" s="21" t="s">
        <v>15</v>
      </c>
      <c r="B16" s="22"/>
      <c r="C16" s="22"/>
      <c r="D16" s="22">
        <v>0.45694444444444432</v>
      </c>
      <c r="E16" s="22"/>
      <c r="F16" s="22">
        <v>0.45694444444444432</v>
      </c>
      <c r="G16" s="23">
        <v>0.42916666666666653</v>
      </c>
      <c r="H16" s="30">
        <v>1.7361111111111112E-2</v>
      </c>
      <c r="I16" s="24">
        <v>0.44652777777777763</v>
      </c>
      <c r="J16" s="22"/>
      <c r="K16" s="22"/>
      <c r="L16" s="22"/>
      <c r="M16" s="22"/>
      <c r="N16" s="22"/>
      <c r="O16" s="22"/>
      <c r="P16" s="22"/>
      <c r="Q16" s="22"/>
      <c r="R16" s="22"/>
      <c r="S16" s="25">
        <f t="shared" si="0"/>
        <v>6</v>
      </c>
    </row>
    <row r="17" spans="1:19">
      <c r="A17" s="11" t="s">
        <v>12</v>
      </c>
      <c r="B17" s="31">
        <v>0.49722222222222218</v>
      </c>
      <c r="C17" s="12">
        <v>0.49027777777777776</v>
      </c>
      <c r="D17" s="12"/>
      <c r="E17" s="12"/>
      <c r="F17" s="12">
        <v>0.47986111111111107</v>
      </c>
      <c r="G17" s="13">
        <v>0.46319444444444441</v>
      </c>
      <c r="H17" s="13">
        <v>6.2499999999999995E-3</v>
      </c>
      <c r="I17" s="14">
        <v>0.46944444444444439</v>
      </c>
      <c r="J17" s="12"/>
      <c r="K17" s="12"/>
      <c r="L17" s="12"/>
      <c r="M17" s="12"/>
      <c r="N17" s="12"/>
      <c r="O17" s="12"/>
      <c r="P17" s="12"/>
      <c r="Q17" s="12"/>
      <c r="R17" s="12"/>
      <c r="S17" s="15">
        <f>3+3+7+3</f>
        <v>16</v>
      </c>
    </row>
    <row r="18" spans="1:19">
      <c r="A18" s="16" t="s">
        <v>14</v>
      </c>
      <c r="B18" s="17"/>
      <c r="C18" s="17"/>
      <c r="D18" s="17"/>
      <c r="E18" s="17"/>
      <c r="F18" s="17">
        <v>0.49999999999999994</v>
      </c>
      <c r="G18" s="18">
        <v>0.48680555555555549</v>
      </c>
      <c r="H18" s="18">
        <v>2.7777777777777779E-3</v>
      </c>
      <c r="I18" s="19">
        <v>0.48958333333333326</v>
      </c>
      <c r="J18" s="17"/>
      <c r="K18" s="17"/>
      <c r="L18" s="17"/>
      <c r="M18" s="17"/>
      <c r="N18" s="17"/>
      <c r="O18" s="17"/>
      <c r="P18" s="17"/>
      <c r="Q18" s="17"/>
      <c r="R18" s="17"/>
      <c r="S18" s="20">
        <f>3+3</f>
        <v>6</v>
      </c>
    </row>
    <row r="19" spans="1:19">
      <c r="A19" s="21" t="s">
        <v>15</v>
      </c>
      <c r="B19" s="22"/>
      <c r="C19" s="22"/>
      <c r="D19" s="22"/>
      <c r="E19" s="22"/>
      <c r="F19" s="22">
        <v>0.48263888888888878</v>
      </c>
      <c r="G19" s="23">
        <v>0.46736111111111101</v>
      </c>
      <c r="H19" s="23">
        <v>4.8611111111111112E-3</v>
      </c>
      <c r="I19" s="32">
        <v>0.4722222222222221</v>
      </c>
      <c r="J19" s="22"/>
      <c r="K19" s="22"/>
      <c r="L19" s="22"/>
      <c r="M19" s="22"/>
      <c r="N19" s="22"/>
      <c r="O19" s="22"/>
      <c r="P19" s="22"/>
      <c r="Q19" s="22"/>
      <c r="R19" s="22"/>
      <c r="S19" s="25">
        <f>3</f>
        <v>3</v>
      </c>
    </row>
    <row r="20" spans="1:19">
      <c r="A20" s="11" t="s">
        <v>12</v>
      </c>
      <c r="B20" s="33">
        <v>0.53402777777777777</v>
      </c>
      <c r="C20" s="12">
        <v>0.54097222222222219</v>
      </c>
      <c r="D20" s="12"/>
      <c r="E20" s="12"/>
      <c r="F20" s="12">
        <v>0.55138888888888882</v>
      </c>
      <c r="G20" s="13">
        <v>0.56180555555555545</v>
      </c>
      <c r="H20" s="13">
        <v>4.1666666666666666E-3</v>
      </c>
      <c r="I20" s="14">
        <v>0.5659722222222221</v>
      </c>
      <c r="J20" s="12">
        <v>0.57499999999999984</v>
      </c>
      <c r="K20" s="12">
        <v>2.7777777777777779E-3</v>
      </c>
      <c r="L20" s="12">
        <v>0.57777777777777761</v>
      </c>
      <c r="M20" s="12"/>
      <c r="N20" s="12"/>
      <c r="O20" s="12"/>
      <c r="P20" s="12"/>
      <c r="Q20" s="12"/>
      <c r="R20" s="12"/>
      <c r="S20" s="15">
        <f>3+7+3+3+3</f>
        <v>19</v>
      </c>
    </row>
    <row r="21" spans="1:19">
      <c r="A21" s="16" t="s">
        <v>14</v>
      </c>
      <c r="B21" s="31">
        <v>0.54166666666666652</v>
      </c>
      <c r="C21" s="17">
        <v>0.5347222222222221</v>
      </c>
      <c r="D21" s="17"/>
      <c r="E21" s="17"/>
      <c r="F21" s="17">
        <v>0.52430555555555547</v>
      </c>
      <c r="G21" s="18">
        <v>0.51041666666666663</v>
      </c>
      <c r="H21" s="18">
        <v>3.472222222222222E-3</v>
      </c>
      <c r="I21" s="19">
        <v>0.51388888888888884</v>
      </c>
      <c r="J21" s="17"/>
      <c r="K21" s="17"/>
      <c r="L21" s="17"/>
      <c r="M21" s="17"/>
      <c r="N21" s="17"/>
      <c r="O21" s="17"/>
      <c r="P21" s="17"/>
      <c r="Q21" s="17"/>
      <c r="R21" s="17"/>
      <c r="S21" s="20">
        <f>3+3+7+3</f>
        <v>16</v>
      </c>
    </row>
    <row r="22" spans="1:19">
      <c r="A22" s="21" t="s">
        <v>15</v>
      </c>
      <c r="B22" s="22"/>
      <c r="C22" s="22"/>
      <c r="D22" s="22"/>
      <c r="E22" s="22"/>
      <c r="F22" s="22"/>
      <c r="G22" s="23">
        <v>0.49305555555555547</v>
      </c>
      <c r="H22" s="23">
        <v>4.8611111111111112E-3</v>
      </c>
      <c r="I22" s="24">
        <v>0.49791666666666656</v>
      </c>
      <c r="J22" s="22">
        <v>0.50833333333333319</v>
      </c>
      <c r="K22" s="22">
        <v>6.9444444444444447E-4</v>
      </c>
      <c r="L22" s="22">
        <v>0.50902777777777763</v>
      </c>
      <c r="M22" s="22"/>
      <c r="N22" s="22"/>
      <c r="O22" s="22"/>
      <c r="P22" s="22"/>
      <c r="Q22" s="22"/>
      <c r="R22" s="22"/>
      <c r="S22" s="25">
        <f>3+3</f>
        <v>6</v>
      </c>
    </row>
    <row r="23" spans="1:19">
      <c r="A23" s="11" t="s">
        <v>12</v>
      </c>
      <c r="B23" s="12"/>
      <c r="C23" s="12"/>
      <c r="D23" s="12"/>
      <c r="E23" s="12"/>
      <c r="F23" s="12"/>
      <c r="G23" s="13">
        <v>0.58333333333333315</v>
      </c>
      <c r="H23" s="13">
        <v>6.2499999999999995E-3</v>
      </c>
      <c r="I23" s="14">
        <v>0.58958333333333313</v>
      </c>
      <c r="J23" s="12">
        <v>0.59861111111111087</v>
      </c>
      <c r="K23" s="12">
        <v>1.3888888888888889E-3</v>
      </c>
      <c r="L23" s="12">
        <v>0.59999999999999976</v>
      </c>
      <c r="M23" s="12"/>
      <c r="N23" s="12"/>
      <c r="O23" s="12"/>
      <c r="P23" s="12"/>
      <c r="Q23" s="12"/>
      <c r="R23" s="12"/>
      <c r="S23" s="15">
        <f>3+3</f>
        <v>6</v>
      </c>
    </row>
    <row r="24" spans="1:19">
      <c r="A24" s="16" t="s">
        <v>14</v>
      </c>
      <c r="B24" s="33">
        <v>0.57638888888888873</v>
      </c>
      <c r="C24" s="17">
        <v>0.58333333333333315</v>
      </c>
      <c r="D24" s="17"/>
      <c r="E24" s="17"/>
      <c r="F24" s="17">
        <v>0.59374999999999978</v>
      </c>
      <c r="G24" s="18">
        <v>0.60416666666666641</v>
      </c>
      <c r="H24" s="18">
        <v>6.9444444444444441E-3</v>
      </c>
      <c r="I24" s="19">
        <v>0.61111111111111083</v>
      </c>
      <c r="J24" s="17"/>
      <c r="K24" s="17"/>
      <c r="L24" s="17"/>
      <c r="M24" s="17"/>
      <c r="N24" s="17"/>
      <c r="O24" s="17"/>
      <c r="P24" s="17"/>
      <c r="Q24" s="17"/>
      <c r="R24" s="17"/>
      <c r="S24" s="20">
        <f>3+7+3</f>
        <v>13</v>
      </c>
    </row>
    <row r="25" spans="1:19">
      <c r="A25" s="16" t="s">
        <v>14</v>
      </c>
      <c r="B25" s="17"/>
      <c r="C25" s="17"/>
      <c r="D25" s="17">
        <v>0.62152777777777746</v>
      </c>
      <c r="E25" s="17"/>
      <c r="F25" s="17">
        <v>0.62152777777777746</v>
      </c>
      <c r="G25" s="18"/>
      <c r="H25" s="18"/>
      <c r="I25" s="19"/>
      <c r="J25" s="17"/>
      <c r="K25" s="17"/>
      <c r="L25" s="17"/>
      <c r="M25" s="17"/>
      <c r="N25" s="17"/>
      <c r="O25" s="17"/>
      <c r="P25" s="17"/>
      <c r="Q25" s="17"/>
      <c r="R25" s="17"/>
      <c r="S25" s="20">
        <f>3</f>
        <v>3</v>
      </c>
    </row>
    <row r="26" spans="1:19">
      <c r="A26" s="21" t="s">
        <v>15</v>
      </c>
      <c r="B26" s="22"/>
      <c r="C26" s="22"/>
      <c r="D26" s="22"/>
      <c r="E26" s="22"/>
      <c r="F26" s="22"/>
      <c r="G26" s="23">
        <v>0.51458333333333317</v>
      </c>
      <c r="H26" s="23">
        <v>4.8611111111111112E-3</v>
      </c>
      <c r="I26" s="24">
        <v>0.51944444444444426</v>
      </c>
      <c r="J26" s="22">
        <v>0.52986111111111089</v>
      </c>
      <c r="K26" s="22">
        <v>6.9444444444444447E-4</v>
      </c>
      <c r="L26" s="22">
        <v>0.53055555555555534</v>
      </c>
      <c r="M26" s="22"/>
      <c r="N26" s="22"/>
      <c r="O26" s="22"/>
      <c r="P26" s="22"/>
      <c r="Q26" s="22"/>
      <c r="R26" s="22"/>
      <c r="S26" s="25">
        <f>3+3</f>
        <v>6</v>
      </c>
    </row>
    <row r="27" spans="1:19">
      <c r="A27" s="11" t="s">
        <v>12</v>
      </c>
      <c r="B27" s="12"/>
      <c r="C27" s="12"/>
      <c r="D27" s="12"/>
      <c r="E27" s="12"/>
      <c r="F27" s="12"/>
      <c r="G27" s="13">
        <v>0.60555555555555529</v>
      </c>
      <c r="H27" s="13">
        <v>5.5555555555555558E-3</v>
      </c>
      <c r="I27" s="14">
        <v>0.61111111111111083</v>
      </c>
      <c r="J27" s="12">
        <v>0.62152777777777746</v>
      </c>
      <c r="K27" s="12">
        <v>1.3888888888888889E-3</v>
      </c>
      <c r="L27" s="12">
        <v>0.62291666666666634</v>
      </c>
      <c r="M27" s="12">
        <v>0.62986111111111076</v>
      </c>
      <c r="N27" s="12">
        <v>2.7777777777777779E-3</v>
      </c>
      <c r="O27" s="12">
        <v>0.63263888888888853</v>
      </c>
      <c r="P27" s="12">
        <v>0.63819444444444406</v>
      </c>
      <c r="Q27" s="12">
        <v>2.0833333333333333E-3</v>
      </c>
      <c r="R27" s="12">
        <v>0.64027777777777739</v>
      </c>
      <c r="S27" s="15">
        <f>3+3+3+3</f>
        <v>12</v>
      </c>
    </row>
    <row r="28" spans="1:19">
      <c r="A28" s="16" t="s">
        <v>14</v>
      </c>
      <c r="B28" s="17"/>
      <c r="C28" s="17"/>
      <c r="D28" s="17">
        <v>0.64791666666666625</v>
      </c>
      <c r="E28" s="17">
        <v>1.3888888888888889E-3</v>
      </c>
      <c r="F28" s="17">
        <v>0.64930555555555514</v>
      </c>
      <c r="G28" s="18">
        <v>0.63194444444444409</v>
      </c>
      <c r="H28" s="18">
        <v>5.5555555555555558E-3</v>
      </c>
      <c r="I28" s="19">
        <v>0.63749999999999962</v>
      </c>
      <c r="J28" s="17"/>
      <c r="K28" s="17"/>
      <c r="L28" s="17"/>
      <c r="M28" s="17"/>
      <c r="N28" s="17"/>
      <c r="O28" s="17"/>
      <c r="P28" s="17"/>
      <c r="Q28" s="17"/>
      <c r="R28" s="17"/>
      <c r="S28" s="20">
        <f>3+3</f>
        <v>6</v>
      </c>
    </row>
    <row r="29" spans="1:19">
      <c r="A29" s="21" t="s">
        <v>15</v>
      </c>
      <c r="B29" s="31">
        <v>0.56874999999999964</v>
      </c>
      <c r="C29" s="22">
        <v>0.56180555555555522</v>
      </c>
      <c r="D29" s="22">
        <v>0.5513888888888886</v>
      </c>
      <c r="E29" s="22"/>
      <c r="F29" s="22">
        <v>0.5513888888888886</v>
      </c>
      <c r="G29" s="23">
        <v>0.53611111111111087</v>
      </c>
      <c r="H29" s="23">
        <v>4.8611111111111112E-3</v>
      </c>
      <c r="I29" s="24">
        <v>0.54097222222222197</v>
      </c>
      <c r="J29" s="22"/>
      <c r="K29" s="22"/>
      <c r="L29" s="22"/>
      <c r="M29" s="22"/>
      <c r="N29" s="22"/>
      <c r="O29" s="22"/>
      <c r="P29" s="22"/>
      <c r="Q29" s="22"/>
      <c r="R29" s="22"/>
      <c r="S29" s="25">
        <f>3+3+7+3</f>
        <v>16</v>
      </c>
    </row>
    <row r="30" spans="1:19">
      <c r="A30" s="11" t="s">
        <v>12</v>
      </c>
      <c r="B30" s="12"/>
      <c r="C30" s="12"/>
      <c r="D30" s="12"/>
      <c r="E30" s="12"/>
      <c r="F30" s="12">
        <v>0.66666666666666619</v>
      </c>
      <c r="G30" s="13">
        <v>0.64583333333333293</v>
      </c>
      <c r="H30" s="28">
        <v>1.0416666666666666E-2</v>
      </c>
      <c r="I30" s="14">
        <v>0.65624999999999956</v>
      </c>
      <c r="J30" s="12"/>
      <c r="K30" s="12"/>
      <c r="L30" s="12"/>
      <c r="M30" s="12"/>
      <c r="N30" s="12"/>
      <c r="O30" s="12"/>
      <c r="P30" s="12"/>
      <c r="Q30" s="12"/>
      <c r="R30" s="12"/>
      <c r="S30" s="15">
        <f>3</f>
        <v>3</v>
      </c>
    </row>
    <row r="31" spans="1:19">
      <c r="A31" s="16" t="s">
        <v>14</v>
      </c>
      <c r="B31" s="17"/>
      <c r="C31" s="17"/>
      <c r="D31" s="17"/>
      <c r="E31" s="17"/>
      <c r="F31" s="17"/>
      <c r="G31" s="18">
        <v>0.65972222222222177</v>
      </c>
      <c r="H31" s="29">
        <v>1.3888888888888888E-2</v>
      </c>
      <c r="I31" s="19">
        <v>0.67361111111111061</v>
      </c>
      <c r="J31" s="17"/>
      <c r="K31" s="17"/>
      <c r="L31" s="17"/>
      <c r="M31" s="17"/>
      <c r="N31" s="17"/>
      <c r="O31" s="17"/>
      <c r="P31" s="17"/>
      <c r="Q31" s="17"/>
      <c r="R31" s="17"/>
      <c r="S31" s="20">
        <f>3</f>
        <v>3</v>
      </c>
    </row>
    <row r="32" spans="1:19">
      <c r="A32" s="16" t="s">
        <v>14</v>
      </c>
      <c r="B32" s="17"/>
      <c r="C32" s="17"/>
      <c r="D32" s="17"/>
      <c r="E32" s="17"/>
      <c r="F32" s="17"/>
      <c r="G32" s="18"/>
      <c r="H32" s="18"/>
      <c r="I32" s="27"/>
      <c r="J32" s="17">
        <v>0.68263888888888835</v>
      </c>
      <c r="K32" s="34">
        <v>2.0833333333333333E-3</v>
      </c>
      <c r="L32" s="17">
        <v>0.68472222222222168</v>
      </c>
      <c r="M32" s="17"/>
      <c r="N32" s="17"/>
      <c r="O32" s="17"/>
      <c r="P32" s="17"/>
      <c r="Q32" s="17"/>
      <c r="R32" s="17"/>
      <c r="S32" s="20">
        <f>3</f>
        <v>3</v>
      </c>
    </row>
    <row r="33" spans="1:19">
      <c r="A33" s="11" t="s">
        <v>12</v>
      </c>
      <c r="B33" s="12"/>
      <c r="C33" s="12"/>
      <c r="D33" s="12"/>
      <c r="E33" s="12"/>
      <c r="F33" s="12"/>
      <c r="G33" s="13">
        <f>F30+AF29</f>
        <v>0.66666666666666619</v>
      </c>
      <c r="H33" s="13">
        <f>0</f>
        <v>0</v>
      </c>
      <c r="I33" s="14">
        <v>0.67708333333333282</v>
      </c>
      <c r="J33" s="12">
        <f>I33+AF53</f>
        <v>0.67708333333333282</v>
      </c>
      <c r="K33" s="12">
        <v>0</v>
      </c>
      <c r="L33" s="12">
        <f>J33+0</f>
        <v>0.67708333333333282</v>
      </c>
      <c r="M33" s="12">
        <f>L33+AF31</f>
        <v>0.67708333333333282</v>
      </c>
      <c r="N33" s="12">
        <f>AG37</f>
        <v>0</v>
      </c>
      <c r="O33" s="35">
        <f>M33+N33</f>
        <v>0.67708333333333282</v>
      </c>
      <c r="P33" s="12">
        <f>O33+AF55</f>
        <v>0.67708333333333282</v>
      </c>
      <c r="Q33" s="12">
        <f>AG32</f>
        <v>0</v>
      </c>
      <c r="R33" s="36">
        <f>P33+Q33</f>
        <v>0.67708333333333282</v>
      </c>
      <c r="S33" s="15">
        <f>3+3+3+3</f>
        <v>12</v>
      </c>
    </row>
    <row r="34" spans="1:19">
      <c r="A34" s="21" t="s">
        <v>15</v>
      </c>
      <c r="B34" s="33">
        <v>0.60555555555555518</v>
      </c>
      <c r="C34" s="22">
        <v>0.6124999999999996</v>
      </c>
      <c r="D34" s="22">
        <v>0.62291666666666623</v>
      </c>
      <c r="E34" s="22"/>
      <c r="F34" s="22">
        <v>0.62291666666666623</v>
      </c>
      <c r="G34" s="23">
        <v>0.63333333333333286</v>
      </c>
      <c r="H34" s="23">
        <v>1.3888888888888889E-3</v>
      </c>
      <c r="I34" s="24">
        <v>0.63472222222222174</v>
      </c>
      <c r="J34" s="22">
        <v>0.64374999999999949</v>
      </c>
      <c r="K34" s="22">
        <v>6.9444444444444447E-4</v>
      </c>
      <c r="L34" s="22">
        <v>0.64444444444444393</v>
      </c>
      <c r="M34" s="22">
        <v>0.65069444444444391</v>
      </c>
      <c r="N34" s="22">
        <v>2.7777777777777779E-3</v>
      </c>
      <c r="O34" s="35">
        <v>0.65347222222222168</v>
      </c>
      <c r="P34" s="22">
        <v>0.65902777777777721</v>
      </c>
      <c r="Q34" s="22">
        <v>1.3888888888888889E-3</v>
      </c>
      <c r="R34" s="36">
        <v>0.6604166666666661</v>
      </c>
      <c r="S34" s="25">
        <f>3+7+3+3+3+3</f>
        <v>22</v>
      </c>
    </row>
    <row r="35" spans="1:19">
      <c r="A35" s="16" t="s">
        <v>14</v>
      </c>
      <c r="B35" s="17"/>
      <c r="C35" s="17"/>
      <c r="D35" s="17"/>
      <c r="E35" s="17"/>
      <c r="F35" s="17"/>
      <c r="G35" s="18">
        <f>L32+AF57</f>
        <v>0.68472222222222168</v>
      </c>
      <c r="H35" s="18">
        <v>0</v>
      </c>
      <c r="I35" s="19">
        <f>G35+H35</f>
        <v>0.68472222222222168</v>
      </c>
      <c r="J35" s="17"/>
      <c r="K35" s="17"/>
      <c r="L35" s="17"/>
      <c r="M35" s="17"/>
      <c r="N35" s="17"/>
      <c r="O35" s="17"/>
      <c r="P35" s="17"/>
      <c r="Q35" s="17"/>
      <c r="R35" s="17"/>
      <c r="S35" s="20">
        <f>3</f>
        <v>3</v>
      </c>
    </row>
    <row r="36" spans="1:19">
      <c r="A36" s="16" t="s">
        <v>14</v>
      </c>
      <c r="B36" s="17"/>
      <c r="C36" s="17"/>
      <c r="D36" s="17">
        <f>I35+AF52</f>
        <v>0.68472222222222168</v>
      </c>
      <c r="E36" s="17">
        <f>AG59</f>
        <v>0</v>
      </c>
      <c r="F36" s="17">
        <f>D36+E36</f>
        <v>0.68472222222222168</v>
      </c>
      <c r="G36" s="18">
        <f>F36+AF52</f>
        <v>0.68472222222222168</v>
      </c>
      <c r="H36" s="18">
        <v>6.9444444444444447E-4</v>
      </c>
      <c r="I36" s="19">
        <f>G36+H36</f>
        <v>0.68541666666666612</v>
      </c>
      <c r="J36" s="17">
        <f>I36+AF53</f>
        <v>0.68541666666666612</v>
      </c>
      <c r="K36" s="17">
        <f>AG37</f>
        <v>0</v>
      </c>
      <c r="L36" s="36">
        <f>J36+K36</f>
        <v>0.68541666666666612</v>
      </c>
      <c r="M36" s="17"/>
      <c r="N36" s="17"/>
      <c r="O36" s="17"/>
      <c r="P36" s="17"/>
      <c r="Q36" s="17"/>
      <c r="R36" s="17"/>
      <c r="S36" s="20">
        <f>3+3+3</f>
        <v>9</v>
      </c>
    </row>
    <row r="37" spans="1:19">
      <c r="A37" s="16" t="s">
        <v>14</v>
      </c>
      <c r="B37" s="17"/>
      <c r="C37" s="17"/>
      <c r="D37" s="17"/>
      <c r="E37" s="17"/>
      <c r="F37" s="17"/>
      <c r="G37" s="18">
        <f>L36+AF53</f>
        <v>0.68541666666666612</v>
      </c>
      <c r="H37" s="18">
        <v>2.7777777777777779E-3</v>
      </c>
      <c r="I37" s="19">
        <f>G37+H37</f>
        <v>0.68819444444444389</v>
      </c>
      <c r="J37" s="17"/>
      <c r="K37" s="17"/>
      <c r="L37" s="17"/>
      <c r="M37" s="17"/>
      <c r="N37" s="17"/>
      <c r="O37" s="17"/>
      <c r="P37" s="17"/>
      <c r="Q37" s="17"/>
      <c r="R37" s="17"/>
      <c r="S37" s="20">
        <f>3</f>
        <v>3</v>
      </c>
    </row>
    <row r="38" spans="1:19">
      <c r="A38" s="16" t="s">
        <v>14</v>
      </c>
      <c r="B38" s="17"/>
      <c r="C38" s="17">
        <f>F38+AF45</f>
        <v>0.68819444444444389</v>
      </c>
      <c r="D38" s="17">
        <f>I37+AF51</f>
        <v>0.68819444444444389</v>
      </c>
      <c r="E38" s="17">
        <f>0</f>
        <v>0</v>
      </c>
      <c r="F38" s="17">
        <f>D38</f>
        <v>0.68819444444444389</v>
      </c>
      <c r="G38" s="18"/>
      <c r="H38" s="18"/>
      <c r="I38" s="19"/>
      <c r="J38" s="17"/>
      <c r="K38" s="17"/>
      <c r="L38" s="17"/>
      <c r="M38" s="17"/>
      <c r="N38" s="17"/>
      <c r="O38" s="17"/>
      <c r="P38" s="17"/>
      <c r="Q38" s="17"/>
      <c r="R38" s="17"/>
      <c r="S38" s="20">
        <f>3+7</f>
        <v>10</v>
      </c>
    </row>
    <row r="39" spans="1:19">
      <c r="A39" s="16" t="s">
        <v>14</v>
      </c>
      <c r="B39" s="17"/>
      <c r="C39" s="17"/>
      <c r="D39" s="17">
        <f>C38+AF45</f>
        <v>0.68819444444444389</v>
      </c>
      <c r="E39" s="17">
        <f>0</f>
        <v>0</v>
      </c>
      <c r="F39" s="17">
        <f>D39</f>
        <v>0.68819444444444389</v>
      </c>
      <c r="G39" s="18">
        <f>F39+AF52</f>
        <v>0.68819444444444389</v>
      </c>
      <c r="H39" s="18">
        <f>0</f>
        <v>0</v>
      </c>
      <c r="I39" s="19">
        <f>G39</f>
        <v>0.68819444444444389</v>
      </c>
      <c r="J39" s="17">
        <f>I39+AF53</f>
        <v>0.68819444444444389</v>
      </c>
      <c r="K39" s="17">
        <f>AG43</f>
        <v>0</v>
      </c>
      <c r="L39" s="36">
        <f>J39+AG43</f>
        <v>0.68819444444444389</v>
      </c>
      <c r="M39" s="17"/>
      <c r="N39" s="17"/>
      <c r="O39" s="17"/>
      <c r="P39" s="17"/>
      <c r="Q39" s="17"/>
      <c r="R39" s="17"/>
      <c r="S39" s="20">
        <f>7+3+3+3</f>
        <v>16</v>
      </c>
    </row>
    <row r="40" spans="1:19">
      <c r="A40" s="21" t="s">
        <v>15</v>
      </c>
      <c r="B40" s="22"/>
      <c r="C40" s="22"/>
      <c r="D40" s="22"/>
      <c r="E40" s="22"/>
      <c r="F40" s="22"/>
      <c r="G40" s="23">
        <v>0.66597222222222163</v>
      </c>
      <c r="H40" s="30">
        <f>AG44</f>
        <v>0</v>
      </c>
      <c r="I40" s="24">
        <f>G40+H40</f>
        <v>0.66597222222222163</v>
      </c>
      <c r="J40" s="22">
        <f>I40+AF52</f>
        <v>0.66597222222222163</v>
      </c>
      <c r="K40" s="22">
        <f>AG37</f>
        <v>0</v>
      </c>
      <c r="L40" s="22">
        <f>J40+K40</f>
        <v>0.66597222222222163</v>
      </c>
      <c r="M40" s="22">
        <f>L40+AF54</f>
        <v>0.66597222222222163</v>
      </c>
      <c r="N40" s="22">
        <f>AG31</f>
        <v>0</v>
      </c>
      <c r="O40" s="35">
        <f>M40+N40</f>
        <v>0.66597222222222163</v>
      </c>
      <c r="P40" s="22">
        <f>O40+AF30</f>
        <v>0.66597222222222163</v>
      </c>
      <c r="Q40" s="22">
        <f>AF37</f>
        <v>0</v>
      </c>
      <c r="R40" s="36">
        <f>P40+Q40</f>
        <v>0.66597222222222163</v>
      </c>
      <c r="S40" s="25">
        <f>3+3+3+3</f>
        <v>12</v>
      </c>
    </row>
    <row r="41" spans="1:19">
      <c r="A41" s="11" t="s">
        <v>12</v>
      </c>
      <c r="B41" s="12"/>
      <c r="C41" s="12"/>
      <c r="D41" s="12">
        <f>F41</f>
        <v>0.67708333333333282</v>
      </c>
      <c r="E41" s="12">
        <f>0</f>
        <v>0</v>
      </c>
      <c r="F41" s="12">
        <f>I41+AF52</f>
        <v>0.67708333333333282</v>
      </c>
      <c r="G41" s="13">
        <f>R33+AF53</f>
        <v>0.67708333333333282</v>
      </c>
      <c r="H41" s="13">
        <f>0</f>
        <v>0</v>
      </c>
      <c r="I41" s="14">
        <f>G41</f>
        <v>0.67708333333333282</v>
      </c>
      <c r="J41" s="12"/>
      <c r="K41" s="12"/>
      <c r="L41" s="12"/>
      <c r="M41" s="12"/>
      <c r="N41" s="12"/>
      <c r="O41" s="12"/>
      <c r="P41" s="12"/>
      <c r="Q41" s="12"/>
      <c r="R41" s="12"/>
      <c r="S41" s="15">
        <f>3+3</f>
        <v>6</v>
      </c>
    </row>
    <row r="42" spans="1:19">
      <c r="A42" s="11"/>
      <c r="B42" s="12"/>
      <c r="C42" s="12"/>
      <c r="D42" s="12"/>
      <c r="E42" s="12"/>
      <c r="F42" s="12"/>
      <c r="G42" s="13">
        <f>F41+AF52</f>
        <v>0.67708333333333282</v>
      </c>
      <c r="H42" s="13">
        <f>0</f>
        <v>0</v>
      </c>
      <c r="I42" s="14">
        <f>G42</f>
        <v>0.67708333333333282</v>
      </c>
      <c r="J42" s="12">
        <f>I42+AF53</f>
        <v>0.67708333333333282</v>
      </c>
      <c r="K42" s="12">
        <f>0</f>
        <v>0</v>
      </c>
      <c r="L42" s="12">
        <f>J42</f>
        <v>0.67708333333333282</v>
      </c>
      <c r="M42" s="12">
        <f>J42+AF54</f>
        <v>0.67708333333333282</v>
      </c>
      <c r="N42" s="12">
        <f>AG59</f>
        <v>0</v>
      </c>
      <c r="O42" s="35">
        <f>M42+N42</f>
        <v>0.67708333333333282</v>
      </c>
      <c r="P42" s="12">
        <f>O42+AF54</f>
        <v>0.67708333333333282</v>
      </c>
      <c r="Q42" s="12">
        <f>AG37</f>
        <v>0</v>
      </c>
      <c r="R42" s="36">
        <f>P42+Q42</f>
        <v>0.67708333333333282</v>
      </c>
      <c r="S42" s="15">
        <f>3+3+3</f>
        <v>9</v>
      </c>
    </row>
    <row r="43" spans="1:19">
      <c r="A43" s="16" t="s">
        <v>14</v>
      </c>
      <c r="B43" s="17">
        <f>C43+AF50</f>
        <v>0.68819444444444389</v>
      </c>
      <c r="C43" s="17">
        <f>D43+AF45</f>
        <v>0.68819444444444389</v>
      </c>
      <c r="D43" s="17">
        <f>I43+AF52</f>
        <v>0.68819444444444389</v>
      </c>
      <c r="E43" s="17">
        <f>0</f>
        <v>0</v>
      </c>
      <c r="F43" s="17">
        <f>D43</f>
        <v>0.68819444444444389</v>
      </c>
      <c r="G43" s="18">
        <f>L39+AF53</f>
        <v>0.68819444444444389</v>
      </c>
      <c r="H43" s="18">
        <f>AF43</f>
        <v>0</v>
      </c>
      <c r="I43" s="19">
        <f>G43+AF43</f>
        <v>0.68819444444444389</v>
      </c>
      <c r="J43" s="17"/>
      <c r="K43" s="17"/>
      <c r="L43" s="17"/>
      <c r="M43" s="17"/>
      <c r="N43" s="17"/>
      <c r="O43" s="17"/>
      <c r="P43" s="17"/>
      <c r="Q43" s="17"/>
      <c r="R43" s="17"/>
      <c r="S43" s="20">
        <f>3+3+7+3</f>
        <v>16</v>
      </c>
    </row>
    <row r="44" spans="1:19">
      <c r="A44" s="16" t="s">
        <v>14</v>
      </c>
      <c r="B44" s="17"/>
      <c r="C44" s="17"/>
      <c r="D44" s="17"/>
      <c r="E44" s="17"/>
      <c r="F44" s="17"/>
      <c r="G44" s="18"/>
      <c r="H44" s="18"/>
      <c r="I44" s="19"/>
      <c r="J44" s="17"/>
      <c r="K44" s="17"/>
      <c r="L44" s="17"/>
      <c r="M44" s="17"/>
      <c r="N44" s="17"/>
      <c r="O44" s="17"/>
      <c r="P44" s="17"/>
      <c r="Q44" s="17"/>
      <c r="R44" s="17"/>
      <c r="S44" s="37"/>
    </row>
    <row r="45" spans="1:19">
      <c r="A45" s="21" t="s">
        <v>15</v>
      </c>
      <c r="B45" s="22"/>
      <c r="C45" s="22"/>
      <c r="D45" s="22"/>
      <c r="E45" s="22"/>
      <c r="F45" s="22"/>
      <c r="G45" s="23">
        <f>R40+AF53</f>
        <v>0.66597222222222163</v>
      </c>
      <c r="H45" s="23">
        <f>AG40</f>
        <v>0</v>
      </c>
      <c r="I45" s="24">
        <f>G45+H45</f>
        <v>0.66597222222222163</v>
      </c>
      <c r="J45" s="22">
        <f>I45+AF53</f>
        <v>0.66597222222222163</v>
      </c>
      <c r="K45" s="22">
        <f>0</f>
        <v>0</v>
      </c>
      <c r="L45" s="36">
        <f>J45+K45</f>
        <v>0.66597222222222163</v>
      </c>
      <c r="M45" s="22"/>
      <c r="N45" s="22"/>
      <c r="O45" s="22"/>
      <c r="P45" s="22"/>
      <c r="Q45" s="22"/>
      <c r="R45" s="22"/>
      <c r="S45" s="25">
        <f>3+3</f>
        <v>6</v>
      </c>
    </row>
    <row r="46" spans="1:19">
      <c r="A46" s="11" t="s">
        <v>12</v>
      </c>
      <c r="B46" s="12"/>
      <c r="C46" s="12">
        <f>D46+AF46</f>
        <v>0.67708333333333282</v>
      </c>
      <c r="D46" s="12">
        <f>I46+AF52</f>
        <v>0.67708333333333282</v>
      </c>
      <c r="E46" s="12">
        <f>0</f>
        <v>0</v>
      </c>
      <c r="F46" s="12">
        <f>D46</f>
        <v>0.67708333333333282</v>
      </c>
      <c r="G46" s="13">
        <f>R42+AF53</f>
        <v>0.67708333333333282</v>
      </c>
      <c r="H46" s="13">
        <f>AF37</f>
        <v>0</v>
      </c>
      <c r="I46" s="14">
        <f>G46+H46</f>
        <v>0.67708333333333282</v>
      </c>
      <c r="J46" s="12"/>
      <c r="K46" s="12"/>
      <c r="L46" s="12"/>
      <c r="M46" s="12"/>
      <c r="N46" s="12"/>
      <c r="O46" s="12"/>
      <c r="P46" s="12"/>
      <c r="Q46" s="12"/>
      <c r="R46" s="12"/>
      <c r="S46" s="15">
        <f>3+3+7</f>
        <v>13</v>
      </c>
    </row>
    <row r="47" spans="1:19">
      <c r="A47" s="11" t="s">
        <v>12</v>
      </c>
      <c r="B47" s="12"/>
      <c r="C47" s="12"/>
      <c r="D47" s="12">
        <f>C46+AF46</f>
        <v>0.67708333333333282</v>
      </c>
      <c r="E47" s="12">
        <f>0</f>
        <v>0</v>
      </c>
      <c r="F47" s="12">
        <f>D47</f>
        <v>0.67708333333333282</v>
      </c>
      <c r="G47" s="13"/>
      <c r="H47" s="13"/>
      <c r="I47" s="14"/>
      <c r="J47" s="12"/>
      <c r="K47" s="12"/>
      <c r="L47" s="12"/>
      <c r="M47" s="12"/>
      <c r="N47" s="12"/>
      <c r="O47" s="12"/>
      <c r="P47" s="12"/>
      <c r="Q47" s="12"/>
      <c r="R47" s="12"/>
      <c r="S47" s="15">
        <f>7</f>
        <v>7</v>
      </c>
    </row>
    <row r="48" spans="1:19">
      <c r="A48" s="11" t="s">
        <v>12</v>
      </c>
      <c r="B48" s="12">
        <f>C48+AF50</f>
        <v>0.67708333333333282</v>
      </c>
      <c r="C48" s="12">
        <f>F47+AF46</f>
        <v>0.67708333333333282</v>
      </c>
      <c r="D48" s="12"/>
      <c r="E48" s="12"/>
      <c r="F48" s="12"/>
      <c r="G48" s="13"/>
      <c r="H48" s="13"/>
      <c r="I48" s="14"/>
      <c r="J48" s="12"/>
      <c r="K48" s="12"/>
      <c r="L48" s="12"/>
      <c r="M48" s="12"/>
      <c r="N48" s="12"/>
      <c r="O48" s="12"/>
      <c r="P48" s="12"/>
      <c r="Q48" s="12"/>
      <c r="R48" s="12"/>
      <c r="S48" s="15">
        <f>7+3</f>
        <v>10</v>
      </c>
    </row>
    <row r="49" spans="1:19">
      <c r="A49" s="21" t="s">
        <v>15</v>
      </c>
      <c r="B49" s="22"/>
      <c r="C49" s="22">
        <f>D49+AF45</f>
        <v>0.66597222222222163</v>
      </c>
      <c r="D49" s="22">
        <f>I49+AF53</f>
        <v>0.66597222222222163</v>
      </c>
      <c r="E49" s="22">
        <f>0</f>
        <v>0</v>
      </c>
      <c r="F49" s="22">
        <f>D49</f>
        <v>0.66597222222222163</v>
      </c>
      <c r="G49" s="23">
        <f>L45+AF52</f>
        <v>0.66597222222222163</v>
      </c>
      <c r="H49" s="23">
        <f>0</f>
        <v>0</v>
      </c>
      <c r="I49" s="24">
        <f>G49+H49</f>
        <v>0.66597222222222163</v>
      </c>
      <c r="J49" s="22"/>
      <c r="K49" s="22"/>
      <c r="L49" s="22"/>
      <c r="M49" s="22"/>
      <c r="N49" s="22"/>
      <c r="O49" s="22"/>
      <c r="P49" s="22"/>
      <c r="Q49" s="22"/>
      <c r="R49" s="22"/>
      <c r="S49" s="25">
        <f>3+3+7</f>
        <v>13</v>
      </c>
    </row>
    <row r="50" spans="1:19">
      <c r="A50" s="21" t="s">
        <v>15</v>
      </c>
      <c r="B50" s="22"/>
      <c r="C50" s="22"/>
      <c r="D50" s="22">
        <f>C49+AF46</f>
        <v>0.66597222222222163</v>
      </c>
      <c r="E50" s="22">
        <f>0</f>
        <v>0</v>
      </c>
      <c r="F50" s="22">
        <f>D50</f>
        <v>0.66597222222222163</v>
      </c>
      <c r="G50" s="23">
        <f>D50+AF53</f>
        <v>0.66597222222222163</v>
      </c>
      <c r="H50" s="23">
        <f>AG55</f>
        <v>0</v>
      </c>
      <c r="I50" s="24">
        <f>G50+H50</f>
        <v>0.66597222222222163</v>
      </c>
      <c r="J50" s="22">
        <f>I50+AF51</f>
        <v>0.66597222222222163</v>
      </c>
      <c r="K50" s="22">
        <f>AG59</f>
        <v>0</v>
      </c>
      <c r="L50" s="36">
        <f>J50+K50</f>
        <v>0.66597222222222163</v>
      </c>
      <c r="M50" s="22"/>
      <c r="N50" s="22"/>
      <c r="O50" s="22"/>
      <c r="P50" s="22"/>
      <c r="Q50" s="22"/>
      <c r="R50" s="22"/>
      <c r="S50" s="25">
        <f>7+3+3</f>
        <v>13</v>
      </c>
    </row>
    <row r="51" spans="1:19">
      <c r="A51" s="21" t="s">
        <v>15</v>
      </c>
      <c r="B51" s="22">
        <f>C51+AF50</f>
        <v>0.66597222222222163</v>
      </c>
      <c r="C51" s="22">
        <f>F51+AF46</f>
        <v>0.66597222222222163</v>
      </c>
      <c r="D51" s="22">
        <f>I51+AF52</f>
        <v>0.66597222222222163</v>
      </c>
      <c r="E51" s="22">
        <f>0</f>
        <v>0</v>
      </c>
      <c r="F51" s="22">
        <f>D51+E51</f>
        <v>0.66597222222222163</v>
      </c>
      <c r="G51" s="23">
        <f>L50+AF51</f>
        <v>0.66597222222222163</v>
      </c>
      <c r="H51" s="23">
        <f>0</f>
        <v>0</v>
      </c>
      <c r="I51" s="24">
        <f>G51</f>
        <v>0.66597222222222163</v>
      </c>
      <c r="J51" s="22"/>
      <c r="K51" s="22"/>
      <c r="L51" s="22"/>
      <c r="M51" s="22"/>
      <c r="N51" s="22"/>
      <c r="O51" s="22"/>
      <c r="P51" s="22"/>
      <c r="Q51" s="22"/>
      <c r="R51" s="22"/>
      <c r="S51" s="25">
        <f>3+3+7+3</f>
        <v>16</v>
      </c>
    </row>
  </sheetData>
  <mergeCells count="6">
    <mergeCell ref="A1:R1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>
      <selection activeCell="H30" sqref="H30"/>
    </sheetView>
  </sheetViews>
  <sheetFormatPr defaultRowHeight="15"/>
  <cols>
    <col min="2" max="2" width="17.85546875" bestFit="1" customWidth="1"/>
    <col min="3" max="3" width="10.85546875" bestFit="1" customWidth="1"/>
    <col min="4" max="4" width="17.85546875" bestFit="1" customWidth="1"/>
    <col min="5" max="5" width="9.7109375" bestFit="1" customWidth="1"/>
  </cols>
  <sheetData>
    <row r="1" spans="1:5">
      <c r="A1" s="38" t="s">
        <v>16</v>
      </c>
      <c r="B1" s="38" t="s">
        <v>17</v>
      </c>
      <c r="C1" s="38" t="s">
        <v>18</v>
      </c>
      <c r="D1" s="38" t="s">
        <v>19</v>
      </c>
      <c r="E1" s="38" t="s">
        <v>20</v>
      </c>
    </row>
    <row r="2" spans="1:5">
      <c r="A2" s="38">
        <v>0</v>
      </c>
      <c r="B2" s="38" t="s">
        <v>21</v>
      </c>
      <c r="C2" s="38">
        <v>1</v>
      </c>
      <c r="D2" s="38" t="s">
        <v>22</v>
      </c>
      <c r="E2" s="39">
        <v>20</v>
      </c>
    </row>
    <row r="3" spans="1:5">
      <c r="A3" s="38">
        <v>0</v>
      </c>
      <c r="B3" s="38" t="s">
        <v>21</v>
      </c>
      <c r="C3" s="38">
        <v>2</v>
      </c>
      <c r="D3" s="38" t="s">
        <v>23</v>
      </c>
      <c r="E3" s="39">
        <v>20</v>
      </c>
    </row>
    <row r="4" spans="1:5">
      <c r="A4" s="38">
        <v>0</v>
      </c>
      <c r="B4" s="38" t="s">
        <v>21</v>
      </c>
      <c r="C4" s="38">
        <v>3</v>
      </c>
      <c r="D4" s="38" t="s">
        <v>24</v>
      </c>
      <c r="E4" s="39">
        <v>20</v>
      </c>
    </row>
    <row r="5" spans="1:5">
      <c r="A5" s="38">
        <v>0</v>
      </c>
      <c r="B5" s="38" t="s">
        <v>21</v>
      </c>
      <c r="C5" s="38">
        <v>4</v>
      </c>
      <c r="D5" s="38" t="s">
        <v>25</v>
      </c>
      <c r="E5" s="39">
        <v>20</v>
      </c>
    </row>
    <row r="6" spans="1:5">
      <c r="A6" s="38">
        <v>0</v>
      </c>
      <c r="B6" s="38" t="s">
        <v>21</v>
      </c>
      <c r="C6" s="38">
        <v>5</v>
      </c>
      <c r="D6" s="38" t="s">
        <v>26</v>
      </c>
      <c r="E6" s="39">
        <v>25</v>
      </c>
    </row>
    <row r="7" spans="1:5">
      <c r="A7" s="38">
        <v>0</v>
      </c>
      <c r="B7" s="38" t="s">
        <v>21</v>
      </c>
      <c r="C7" s="38">
        <v>6</v>
      </c>
      <c r="D7" s="38" t="s">
        <v>27</v>
      </c>
      <c r="E7" s="39">
        <v>25</v>
      </c>
    </row>
    <row r="8" spans="1:5">
      <c r="A8" s="38">
        <v>0</v>
      </c>
      <c r="B8" s="38" t="s">
        <v>21</v>
      </c>
      <c r="C8" s="38">
        <v>7</v>
      </c>
      <c r="D8" s="38" t="s">
        <v>28</v>
      </c>
      <c r="E8" s="39">
        <v>25</v>
      </c>
    </row>
    <row r="9" spans="1:5">
      <c r="A9" s="38">
        <v>0</v>
      </c>
      <c r="B9" s="38" t="s">
        <v>21</v>
      </c>
      <c r="C9" s="38">
        <v>8</v>
      </c>
      <c r="D9" s="38" t="s">
        <v>29</v>
      </c>
      <c r="E9" s="39">
        <v>30</v>
      </c>
    </row>
    <row r="10" spans="1:5">
      <c r="A10" s="38">
        <v>0</v>
      </c>
      <c r="B10" s="38" t="s">
        <v>21</v>
      </c>
      <c r="C10" s="38">
        <v>9</v>
      </c>
      <c r="D10" s="38" t="s">
        <v>30</v>
      </c>
      <c r="E10" s="39">
        <v>30</v>
      </c>
    </row>
    <row r="11" spans="1:5">
      <c r="A11" s="38">
        <v>0</v>
      </c>
      <c r="B11" s="38" t="s">
        <v>21</v>
      </c>
      <c r="C11" s="38">
        <v>10</v>
      </c>
      <c r="D11" s="38" t="s">
        <v>31</v>
      </c>
      <c r="E11" s="39">
        <v>35</v>
      </c>
    </row>
    <row r="12" spans="1:5">
      <c r="A12" s="38">
        <v>0</v>
      </c>
      <c r="B12" s="38" t="s">
        <v>21</v>
      </c>
      <c r="C12" s="38">
        <v>11</v>
      </c>
      <c r="D12" s="38" t="s">
        <v>32</v>
      </c>
      <c r="E12" s="39">
        <v>35</v>
      </c>
    </row>
    <row r="13" spans="1:5">
      <c r="A13" s="38">
        <v>0</v>
      </c>
      <c r="B13" s="38" t="s">
        <v>21</v>
      </c>
      <c r="C13" s="38">
        <v>12</v>
      </c>
      <c r="D13" s="38" t="s">
        <v>33</v>
      </c>
      <c r="E13" s="39">
        <v>40</v>
      </c>
    </row>
    <row r="14" spans="1:5">
      <c r="A14" s="38">
        <v>1</v>
      </c>
      <c r="B14" s="38" t="s">
        <v>22</v>
      </c>
      <c r="C14" s="38">
        <v>2</v>
      </c>
      <c r="D14" s="38" t="s">
        <v>23</v>
      </c>
      <c r="E14" s="39">
        <v>20</v>
      </c>
    </row>
    <row r="15" spans="1:5">
      <c r="A15" s="38">
        <v>1</v>
      </c>
      <c r="B15" s="38" t="s">
        <v>22</v>
      </c>
      <c r="C15" s="38">
        <v>3</v>
      </c>
      <c r="D15" s="38" t="s">
        <v>24</v>
      </c>
      <c r="E15" s="39">
        <v>20</v>
      </c>
    </row>
    <row r="16" spans="1:5">
      <c r="A16" s="38">
        <v>1</v>
      </c>
      <c r="B16" s="38" t="s">
        <v>22</v>
      </c>
      <c r="C16" s="38">
        <v>4</v>
      </c>
      <c r="D16" s="38" t="s">
        <v>25</v>
      </c>
      <c r="E16" s="39">
        <v>20</v>
      </c>
    </row>
    <row r="17" spans="1:5">
      <c r="A17" s="38">
        <v>1</v>
      </c>
      <c r="B17" s="38" t="s">
        <v>22</v>
      </c>
      <c r="C17" s="38">
        <v>5</v>
      </c>
      <c r="D17" s="38" t="s">
        <v>26</v>
      </c>
      <c r="E17" s="39">
        <v>25</v>
      </c>
    </row>
    <row r="18" spans="1:5">
      <c r="A18" s="38">
        <v>1</v>
      </c>
      <c r="B18" s="38" t="s">
        <v>22</v>
      </c>
      <c r="C18" s="38">
        <v>6</v>
      </c>
      <c r="D18" s="38" t="s">
        <v>27</v>
      </c>
      <c r="E18" s="39">
        <v>25</v>
      </c>
    </row>
    <row r="19" spans="1:5">
      <c r="A19" s="38">
        <v>1</v>
      </c>
      <c r="B19" s="38" t="s">
        <v>22</v>
      </c>
      <c r="C19" s="38">
        <v>7</v>
      </c>
      <c r="D19" s="38" t="s">
        <v>28</v>
      </c>
      <c r="E19" s="39">
        <v>25</v>
      </c>
    </row>
    <row r="20" spans="1:5">
      <c r="A20" s="38">
        <v>1</v>
      </c>
      <c r="B20" s="39" t="s">
        <v>22</v>
      </c>
      <c r="C20" s="39">
        <v>8</v>
      </c>
      <c r="D20" s="39" t="s">
        <v>29</v>
      </c>
      <c r="E20" s="39">
        <v>30</v>
      </c>
    </row>
    <row r="21" spans="1:5">
      <c r="A21" s="38">
        <v>1</v>
      </c>
      <c r="B21" s="38" t="s">
        <v>22</v>
      </c>
      <c r="C21" s="38">
        <v>9</v>
      </c>
      <c r="D21" s="38" t="s">
        <v>30</v>
      </c>
      <c r="E21" s="39">
        <v>30</v>
      </c>
    </row>
    <row r="22" spans="1:5">
      <c r="A22" s="38">
        <v>1</v>
      </c>
      <c r="B22" s="38" t="s">
        <v>22</v>
      </c>
      <c r="C22" s="38">
        <v>10</v>
      </c>
      <c r="D22" s="38" t="s">
        <v>31</v>
      </c>
      <c r="E22" s="39">
        <v>30</v>
      </c>
    </row>
    <row r="23" spans="1:5">
      <c r="A23" s="38">
        <v>1</v>
      </c>
      <c r="B23" s="38" t="s">
        <v>22</v>
      </c>
      <c r="C23" s="38">
        <v>11</v>
      </c>
      <c r="D23" s="38" t="s">
        <v>32</v>
      </c>
      <c r="E23" s="39">
        <v>30</v>
      </c>
    </row>
    <row r="24" spans="1:5">
      <c r="A24" s="38">
        <v>1</v>
      </c>
      <c r="B24" s="38" t="s">
        <v>22</v>
      </c>
      <c r="C24" s="38">
        <v>12</v>
      </c>
      <c r="D24" s="38" t="s">
        <v>33</v>
      </c>
      <c r="E24" s="39">
        <v>35</v>
      </c>
    </row>
    <row r="25" spans="1:5">
      <c r="A25" s="38">
        <v>2</v>
      </c>
      <c r="B25" s="38" t="s">
        <v>23</v>
      </c>
      <c r="C25" s="38">
        <v>3</v>
      </c>
      <c r="D25" s="38" t="s">
        <v>24</v>
      </c>
      <c r="E25" s="39">
        <v>20</v>
      </c>
    </row>
    <row r="26" spans="1:5">
      <c r="A26" s="38">
        <v>2</v>
      </c>
      <c r="B26" s="38" t="s">
        <v>23</v>
      </c>
      <c r="C26" s="38">
        <v>4</v>
      </c>
      <c r="D26" s="38" t="s">
        <v>25</v>
      </c>
      <c r="E26" s="39">
        <v>20</v>
      </c>
    </row>
    <row r="27" spans="1:5">
      <c r="A27" s="38">
        <v>2</v>
      </c>
      <c r="B27" s="38" t="s">
        <v>23</v>
      </c>
      <c r="C27" s="38">
        <v>5</v>
      </c>
      <c r="D27" s="38" t="s">
        <v>26</v>
      </c>
      <c r="E27" s="39">
        <v>20</v>
      </c>
    </row>
    <row r="28" spans="1:5">
      <c r="A28" s="38">
        <v>2</v>
      </c>
      <c r="B28" s="38" t="s">
        <v>23</v>
      </c>
      <c r="C28" s="38">
        <v>6</v>
      </c>
      <c r="D28" s="38" t="s">
        <v>27</v>
      </c>
      <c r="E28" s="39">
        <v>25</v>
      </c>
    </row>
    <row r="29" spans="1:5">
      <c r="A29" s="38">
        <v>2</v>
      </c>
      <c r="B29" s="38" t="s">
        <v>23</v>
      </c>
      <c r="C29" s="38">
        <v>7</v>
      </c>
      <c r="D29" s="38" t="s">
        <v>28</v>
      </c>
      <c r="E29" s="39">
        <v>25</v>
      </c>
    </row>
    <row r="30" spans="1:5">
      <c r="A30" s="38">
        <v>2</v>
      </c>
      <c r="B30" s="38" t="s">
        <v>23</v>
      </c>
      <c r="C30" s="38">
        <v>8</v>
      </c>
      <c r="D30" s="38" t="s">
        <v>29</v>
      </c>
      <c r="E30" s="39">
        <v>25</v>
      </c>
    </row>
    <row r="31" spans="1:5">
      <c r="A31" s="38">
        <v>2</v>
      </c>
      <c r="B31" s="38" t="s">
        <v>23</v>
      </c>
      <c r="C31" s="38">
        <v>9</v>
      </c>
      <c r="D31" s="38" t="s">
        <v>30</v>
      </c>
      <c r="E31" s="39">
        <v>30</v>
      </c>
    </row>
    <row r="32" spans="1:5">
      <c r="A32" s="38">
        <v>2</v>
      </c>
      <c r="B32" s="38" t="s">
        <v>23</v>
      </c>
      <c r="C32" s="38">
        <v>10</v>
      </c>
      <c r="D32" s="38" t="s">
        <v>31</v>
      </c>
      <c r="E32" s="39">
        <v>30</v>
      </c>
    </row>
    <row r="33" spans="1:5">
      <c r="A33" s="38">
        <v>2</v>
      </c>
      <c r="B33" s="38" t="s">
        <v>23</v>
      </c>
      <c r="C33" s="38">
        <v>11</v>
      </c>
      <c r="D33" s="38" t="s">
        <v>32</v>
      </c>
      <c r="E33" s="39">
        <v>30</v>
      </c>
    </row>
    <row r="34" spans="1:5">
      <c r="A34" s="38">
        <v>2</v>
      </c>
      <c r="B34" s="38" t="s">
        <v>23</v>
      </c>
      <c r="C34" s="38">
        <v>12</v>
      </c>
      <c r="D34" s="38" t="s">
        <v>33</v>
      </c>
      <c r="E34" s="39">
        <v>35</v>
      </c>
    </row>
    <row r="35" spans="1:5">
      <c r="A35" s="38">
        <v>3</v>
      </c>
      <c r="B35" s="38" t="s">
        <v>24</v>
      </c>
      <c r="C35" s="38">
        <v>4</v>
      </c>
      <c r="D35" s="38" t="s">
        <v>25</v>
      </c>
      <c r="E35" s="39">
        <v>20</v>
      </c>
    </row>
    <row r="36" spans="1:5">
      <c r="A36" s="38">
        <v>3</v>
      </c>
      <c r="B36" s="38" t="s">
        <v>24</v>
      </c>
      <c r="C36" s="38">
        <v>5</v>
      </c>
      <c r="D36" s="38" t="s">
        <v>26</v>
      </c>
      <c r="E36" s="39">
        <v>20</v>
      </c>
    </row>
    <row r="37" spans="1:5">
      <c r="A37" s="38">
        <v>3</v>
      </c>
      <c r="B37" s="38" t="s">
        <v>24</v>
      </c>
      <c r="C37" s="38">
        <v>6</v>
      </c>
      <c r="D37" s="38" t="s">
        <v>27</v>
      </c>
      <c r="E37" s="39">
        <v>20</v>
      </c>
    </row>
    <row r="38" spans="1:5">
      <c r="A38" s="38">
        <v>3</v>
      </c>
      <c r="B38" s="38" t="s">
        <v>24</v>
      </c>
      <c r="C38" s="38">
        <v>7</v>
      </c>
      <c r="D38" s="38" t="s">
        <v>28</v>
      </c>
      <c r="E38" s="39">
        <v>20</v>
      </c>
    </row>
    <row r="39" spans="1:5">
      <c r="A39" s="38">
        <v>3</v>
      </c>
      <c r="B39" s="38" t="s">
        <v>24</v>
      </c>
      <c r="C39" s="38">
        <v>8</v>
      </c>
      <c r="D39" s="38" t="s">
        <v>29</v>
      </c>
      <c r="E39" s="39">
        <v>25</v>
      </c>
    </row>
    <row r="40" spans="1:5">
      <c r="A40" s="38">
        <v>3</v>
      </c>
      <c r="B40" s="38" t="s">
        <v>24</v>
      </c>
      <c r="C40" s="38">
        <v>9</v>
      </c>
      <c r="D40" s="38" t="s">
        <v>30</v>
      </c>
      <c r="E40" s="39">
        <v>25</v>
      </c>
    </row>
    <row r="41" spans="1:5">
      <c r="A41" s="38">
        <v>3</v>
      </c>
      <c r="B41" s="38" t="s">
        <v>24</v>
      </c>
      <c r="C41" s="38">
        <v>10</v>
      </c>
      <c r="D41" s="38" t="s">
        <v>31</v>
      </c>
      <c r="E41" s="39">
        <v>25</v>
      </c>
    </row>
    <row r="42" spans="1:5">
      <c r="A42" s="38">
        <v>3</v>
      </c>
      <c r="B42" s="38" t="s">
        <v>24</v>
      </c>
      <c r="C42" s="38">
        <v>11</v>
      </c>
      <c r="D42" s="38" t="s">
        <v>32</v>
      </c>
      <c r="E42" s="39">
        <v>25</v>
      </c>
    </row>
    <row r="43" spans="1:5">
      <c r="A43" s="38">
        <v>3</v>
      </c>
      <c r="B43" s="38" t="s">
        <v>24</v>
      </c>
      <c r="C43" s="38">
        <v>12</v>
      </c>
      <c r="D43" s="38" t="s">
        <v>33</v>
      </c>
      <c r="E43" s="39">
        <v>30</v>
      </c>
    </row>
    <row r="44" spans="1:5">
      <c r="A44" s="38">
        <v>4</v>
      </c>
      <c r="B44" s="38" t="s">
        <v>25</v>
      </c>
      <c r="C44" s="38">
        <v>5</v>
      </c>
      <c r="D44" s="38" t="s">
        <v>26</v>
      </c>
      <c r="E44" s="39">
        <v>20</v>
      </c>
    </row>
    <row r="45" spans="1:5">
      <c r="A45" s="38">
        <v>4</v>
      </c>
      <c r="B45" s="38" t="s">
        <v>25</v>
      </c>
      <c r="C45" s="38">
        <v>6</v>
      </c>
      <c r="D45" s="38" t="s">
        <v>27</v>
      </c>
      <c r="E45" s="39">
        <v>20</v>
      </c>
    </row>
    <row r="46" spans="1:5">
      <c r="A46" s="38">
        <v>4</v>
      </c>
      <c r="B46" s="38" t="s">
        <v>25</v>
      </c>
      <c r="C46" s="38">
        <v>7</v>
      </c>
      <c r="D46" s="38" t="s">
        <v>28</v>
      </c>
      <c r="E46" s="39">
        <v>20</v>
      </c>
    </row>
    <row r="47" spans="1:5">
      <c r="A47" s="38">
        <v>4</v>
      </c>
      <c r="B47" s="38" t="s">
        <v>25</v>
      </c>
      <c r="C47" s="38">
        <v>8</v>
      </c>
      <c r="D47" s="38" t="s">
        <v>29</v>
      </c>
      <c r="E47" s="39">
        <v>20</v>
      </c>
    </row>
    <row r="48" spans="1:5">
      <c r="A48" s="38">
        <v>4</v>
      </c>
      <c r="B48" s="38" t="s">
        <v>25</v>
      </c>
      <c r="C48" s="38">
        <v>9</v>
      </c>
      <c r="D48" s="38" t="s">
        <v>30</v>
      </c>
      <c r="E48" s="39">
        <v>25</v>
      </c>
    </row>
    <row r="49" spans="1:6">
      <c r="A49" s="38">
        <v>4</v>
      </c>
      <c r="B49" s="38" t="s">
        <v>25</v>
      </c>
      <c r="C49" s="38">
        <v>10</v>
      </c>
      <c r="D49" s="38" t="s">
        <v>31</v>
      </c>
      <c r="E49" s="39">
        <v>25</v>
      </c>
    </row>
    <row r="50" spans="1:6">
      <c r="A50" s="38">
        <v>4</v>
      </c>
      <c r="B50" s="38" t="s">
        <v>25</v>
      </c>
      <c r="C50" s="38">
        <v>11</v>
      </c>
      <c r="D50" s="38" t="s">
        <v>32</v>
      </c>
      <c r="E50" s="39">
        <v>25</v>
      </c>
    </row>
    <row r="51" spans="1:6">
      <c r="A51" s="38">
        <v>4</v>
      </c>
      <c r="B51" s="38" t="s">
        <v>25</v>
      </c>
      <c r="C51" s="38">
        <v>12</v>
      </c>
      <c r="D51" s="38" t="s">
        <v>33</v>
      </c>
      <c r="E51" s="39">
        <v>30</v>
      </c>
    </row>
    <row r="52" spans="1:6">
      <c r="A52" s="38">
        <v>5</v>
      </c>
      <c r="B52" s="38" t="s">
        <v>26</v>
      </c>
      <c r="C52" s="38">
        <v>6</v>
      </c>
      <c r="D52" s="38" t="s">
        <v>27</v>
      </c>
      <c r="E52" s="39">
        <v>20</v>
      </c>
    </row>
    <row r="53" spans="1:6">
      <c r="A53" s="38">
        <v>5</v>
      </c>
      <c r="B53" s="38" t="s">
        <v>26</v>
      </c>
      <c r="C53" s="38">
        <v>7</v>
      </c>
      <c r="D53" s="38" t="s">
        <v>28</v>
      </c>
      <c r="E53" s="39">
        <v>20</v>
      </c>
    </row>
    <row r="54" spans="1:6">
      <c r="A54" s="38">
        <v>5</v>
      </c>
      <c r="B54" s="38" t="s">
        <v>26</v>
      </c>
      <c r="C54" s="38">
        <v>8</v>
      </c>
      <c r="D54" s="38" t="s">
        <v>29</v>
      </c>
      <c r="E54" s="39">
        <v>20</v>
      </c>
    </row>
    <row r="55" spans="1:6">
      <c r="A55" s="38">
        <v>5</v>
      </c>
      <c r="B55" s="38" t="s">
        <v>26</v>
      </c>
      <c r="C55" s="38">
        <v>9</v>
      </c>
      <c r="D55" s="38" t="s">
        <v>30</v>
      </c>
      <c r="E55" s="39">
        <v>20</v>
      </c>
    </row>
    <row r="56" spans="1:6">
      <c r="A56" s="38">
        <v>5</v>
      </c>
      <c r="B56" s="38" t="s">
        <v>26</v>
      </c>
      <c r="C56" s="38">
        <v>10</v>
      </c>
      <c r="D56" s="38" t="s">
        <v>31</v>
      </c>
      <c r="E56" s="39">
        <v>20</v>
      </c>
    </row>
    <row r="57" spans="1:6">
      <c r="A57" s="38">
        <v>5</v>
      </c>
      <c r="B57" s="38" t="s">
        <v>26</v>
      </c>
      <c r="C57" s="38">
        <v>11</v>
      </c>
      <c r="D57" s="38" t="s">
        <v>32</v>
      </c>
      <c r="E57" s="39">
        <v>25</v>
      </c>
    </row>
    <row r="58" spans="1:6">
      <c r="A58" s="38">
        <v>5</v>
      </c>
      <c r="B58" s="38" t="s">
        <v>26</v>
      </c>
      <c r="C58" s="38">
        <v>12</v>
      </c>
      <c r="D58" s="38" t="s">
        <v>33</v>
      </c>
      <c r="E58" s="39">
        <v>25</v>
      </c>
      <c r="F58" s="40"/>
    </row>
    <row r="59" spans="1:6">
      <c r="A59" s="38">
        <v>6</v>
      </c>
      <c r="B59" s="38" t="s">
        <v>27</v>
      </c>
      <c r="C59" s="38">
        <v>7</v>
      </c>
      <c r="D59" s="38" t="s">
        <v>28</v>
      </c>
      <c r="E59" s="39">
        <v>20</v>
      </c>
    </row>
    <row r="60" spans="1:6">
      <c r="A60" s="38">
        <v>6</v>
      </c>
      <c r="B60" s="38" t="s">
        <v>27</v>
      </c>
      <c r="C60" s="38">
        <v>8</v>
      </c>
      <c r="D60" s="38" t="s">
        <v>29</v>
      </c>
      <c r="E60" s="39">
        <v>20</v>
      </c>
    </row>
    <row r="61" spans="1:6">
      <c r="A61" s="38">
        <v>6</v>
      </c>
      <c r="B61" s="38" t="s">
        <v>27</v>
      </c>
      <c r="C61" s="38">
        <v>9</v>
      </c>
      <c r="D61" s="38" t="s">
        <v>30</v>
      </c>
      <c r="E61" s="39">
        <v>20</v>
      </c>
    </row>
    <row r="62" spans="1:6">
      <c r="A62" s="38">
        <v>6</v>
      </c>
      <c r="B62" s="38" t="s">
        <v>27</v>
      </c>
      <c r="C62" s="38">
        <v>10</v>
      </c>
      <c r="D62" s="38" t="s">
        <v>31</v>
      </c>
      <c r="E62" s="39">
        <v>20</v>
      </c>
    </row>
    <row r="63" spans="1:6">
      <c r="A63" s="38">
        <v>6</v>
      </c>
      <c r="B63" s="38" t="s">
        <v>27</v>
      </c>
      <c r="C63" s="38">
        <v>11</v>
      </c>
      <c r="D63" s="38" t="s">
        <v>32</v>
      </c>
      <c r="E63" s="39">
        <v>20</v>
      </c>
    </row>
    <row r="64" spans="1:6">
      <c r="A64" s="38">
        <v>6</v>
      </c>
      <c r="B64" s="38" t="s">
        <v>27</v>
      </c>
      <c r="C64" s="38">
        <v>12</v>
      </c>
      <c r="D64" s="38" t="s">
        <v>33</v>
      </c>
      <c r="E64" s="39">
        <v>25</v>
      </c>
    </row>
    <row r="65" spans="1:5">
      <c r="A65" s="38">
        <v>7</v>
      </c>
      <c r="B65" s="38" t="s">
        <v>28</v>
      </c>
      <c r="C65" s="38">
        <v>8</v>
      </c>
      <c r="D65" s="38" t="s">
        <v>29</v>
      </c>
      <c r="E65" s="39">
        <v>20</v>
      </c>
    </row>
    <row r="66" spans="1:5">
      <c r="A66" s="38">
        <v>7</v>
      </c>
      <c r="B66" s="38" t="s">
        <v>28</v>
      </c>
      <c r="C66" s="38">
        <v>9</v>
      </c>
      <c r="D66" s="38" t="s">
        <v>30</v>
      </c>
      <c r="E66" s="39">
        <v>20</v>
      </c>
    </row>
    <row r="67" spans="1:5">
      <c r="A67" s="38">
        <v>7</v>
      </c>
      <c r="B67" s="38" t="s">
        <v>28</v>
      </c>
      <c r="C67" s="38">
        <v>10</v>
      </c>
      <c r="D67" s="38" t="s">
        <v>31</v>
      </c>
      <c r="E67" s="39">
        <v>20</v>
      </c>
    </row>
    <row r="68" spans="1:5">
      <c r="A68" s="38">
        <v>7</v>
      </c>
      <c r="B68" s="38" t="s">
        <v>28</v>
      </c>
      <c r="C68" s="38">
        <v>11</v>
      </c>
      <c r="D68" s="38" t="s">
        <v>32</v>
      </c>
      <c r="E68" s="39">
        <v>20</v>
      </c>
    </row>
    <row r="69" spans="1:5">
      <c r="A69" s="38">
        <v>7</v>
      </c>
      <c r="B69" s="38" t="s">
        <v>28</v>
      </c>
      <c r="C69" s="38">
        <v>12</v>
      </c>
      <c r="D69" s="38" t="s">
        <v>33</v>
      </c>
      <c r="E69" s="39">
        <v>25</v>
      </c>
    </row>
    <row r="70" spans="1:5">
      <c r="A70" s="38">
        <v>8</v>
      </c>
      <c r="B70" s="38" t="s">
        <v>29</v>
      </c>
      <c r="C70" s="38">
        <v>9</v>
      </c>
      <c r="D70" s="38" t="s">
        <v>30</v>
      </c>
      <c r="E70" s="39">
        <v>20</v>
      </c>
    </row>
    <row r="71" spans="1:5">
      <c r="A71" s="38">
        <v>8</v>
      </c>
      <c r="B71" s="38" t="s">
        <v>29</v>
      </c>
      <c r="C71" s="38">
        <v>10</v>
      </c>
      <c r="D71" s="38" t="s">
        <v>31</v>
      </c>
      <c r="E71" s="39">
        <v>20</v>
      </c>
    </row>
    <row r="72" spans="1:5">
      <c r="A72" s="38">
        <v>8</v>
      </c>
      <c r="B72" s="38" t="s">
        <v>29</v>
      </c>
      <c r="C72" s="38">
        <v>11</v>
      </c>
      <c r="D72" s="38" t="s">
        <v>32</v>
      </c>
      <c r="E72" s="39">
        <v>20</v>
      </c>
    </row>
    <row r="73" spans="1:5">
      <c r="A73" s="38">
        <v>8</v>
      </c>
      <c r="B73" s="38" t="s">
        <v>29</v>
      </c>
      <c r="C73" s="38">
        <v>12</v>
      </c>
      <c r="D73" s="38" t="s">
        <v>33</v>
      </c>
      <c r="E73" s="39">
        <v>25</v>
      </c>
    </row>
    <row r="74" spans="1:5">
      <c r="A74" s="38">
        <v>9</v>
      </c>
      <c r="B74" s="38" t="s">
        <v>30</v>
      </c>
      <c r="C74" s="38">
        <v>10</v>
      </c>
      <c r="D74" s="38" t="s">
        <v>31</v>
      </c>
      <c r="E74" s="39">
        <v>20</v>
      </c>
    </row>
    <row r="75" spans="1:5">
      <c r="A75" s="38">
        <v>9</v>
      </c>
      <c r="B75" s="38" t="s">
        <v>30</v>
      </c>
      <c r="C75" s="38">
        <v>11</v>
      </c>
      <c r="D75" s="38" t="s">
        <v>32</v>
      </c>
      <c r="E75" s="39">
        <v>20</v>
      </c>
    </row>
    <row r="76" spans="1:5">
      <c r="A76" s="38">
        <v>9</v>
      </c>
      <c r="B76" s="38" t="s">
        <v>30</v>
      </c>
      <c r="C76" s="38">
        <v>12</v>
      </c>
      <c r="D76" s="38" t="s">
        <v>33</v>
      </c>
      <c r="E76" s="39">
        <v>20</v>
      </c>
    </row>
    <row r="77" spans="1:5">
      <c r="A77" s="38">
        <v>10</v>
      </c>
      <c r="B77" s="38" t="s">
        <v>31</v>
      </c>
      <c r="C77" s="38">
        <v>11</v>
      </c>
      <c r="D77" s="38" t="s">
        <v>32</v>
      </c>
      <c r="E77" s="39">
        <v>20</v>
      </c>
    </row>
    <row r="78" spans="1:5">
      <c r="A78" s="38">
        <v>10</v>
      </c>
      <c r="B78" s="38" t="s">
        <v>31</v>
      </c>
      <c r="C78" s="38">
        <v>12</v>
      </c>
      <c r="D78" s="38" t="s">
        <v>33</v>
      </c>
      <c r="E78" s="39">
        <v>20</v>
      </c>
    </row>
    <row r="79" spans="1:5">
      <c r="A79" s="38">
        <v>11</v>
      </c>
      <c r="B79" s="38" t="s">
        <v>32</v>
      </c>
      <c r="C79" s="38">
        <v>12</v>
      </c>
      <c r="D79" s="38" t="s">
        <v>33</v>
      </c>
      <c r="E79" s="39">
        <v>20</v>
      </c>
    </row>
    <row r="80" spans="1:5">
      <c r="E80" s="40"/>
    </row>
    <row r="81" spans="5:5">
      <c r="E81" s="40"/>
    </row>
    <row r="82" spans="5:5">
      <c r="E82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tabSelected="1" workbookViewId="0">
      <selection activeCell="G69" sqref="G69"/>
    </sheetView>
  </sheetViews>
  <sheetFormatPr defaultRowHeight="15"/>
  <cols>
    <col min="1" max="1" width="12.5703125" bestFit="1" customWidth="1"/>
    <col min="2" max="2" width="17.85546875" bestFit="1" customWidth="1"/>
    <col min="3" max="3" width="10.85546875" bestFit="1" customWidth="1"/>
    <col min="4" max="4" width="17.85546875" bestFit="1" customWidth="1"/>
    <col min="5" max="5" width="9.7109375" bestFit="1" customWidth="1"/>
  </cols>
  <sheetData>
    <row r="1" spans="1: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>
      <c r="A2" s="38">
        <v>0</v>
      </c>
      <c r="B2" s="38" t="s">
        <v>33</v>
      </c>
      <c r="C2" s="38">
        <v>1</v>
      </c>
      <c r="D2" s="38" t="s">
        <v>32</v>
      </c>
      <c r="E2" s="39">
        <v>20</v>
      </c>
    </row>
    <row r="3" spans="1:5">
      <c r="A3" s="38">
        <v>0</v>
      </c>
      <c r="B3" s="38" t="s">
        <v>33</v>
      </c>
      <c r="C3" s="38">
        <v>2</v>
      </c>
      <c r="D3" s="38" t="s">
        <v>31</v>
      </c>
      <c r="E3" s="39">
        <v>20</v>
      </c>
    </row>
    <row r="4" spans="1:5">
      <c r="A4" s="38">
        <v>0</v>
      </c>
      <c r="B4" s="38" t="s">
        <v>33</v>
      </c>
      <c r="C4" s="38">
        <v>3</v>
      </c>
      <c r="D4" s="38" t="s">
        <v>30</v>
      </c>
      <c r="E4" s="39">
        <v>20</v>
      </c>
    </row>
    <row r="5" spans="1:5">
      <c r="A5" s="38">
        <v>0</v>
      </c>
      <c r="B5" s="38" t="s">
        <v>33</v>
      </c>
      <c r="C5" s="38">
        <v>4</v>
      </c>
      <c r="D5" s="38" t="s">
        <v>29</v>
      </c>
      <c r="E5" s="39">
        <v>25</v>
      </c>
    </row>
    <row r="6" spans="1:5">
      <c r="A6" s="38">
        <v>0</v>
      </c>
      <c r="B6" s="38" t="s">
        <v>33</v>
      </c>
      <c r="C6" s="38">
        <v>5</v>
      </c>
      <c r="D6" s="38" t="s">
        <v>28</v>
      </c>
      <c r="E6" s="39">
        <v>25</v>
      </c>
    </row>
    <row r="7" spans="1:5">
      <c r="A7" s="38">
        <v>0</v>
      </c>
      <c r="B7" s="38" t="s">
        <v>33</v>
      </c>
      <c r="C7" s="38">
        <v>6</v>
      </c>
      <c r="D7" s="38" t="s">
        <v>27</v>
      </c>
      <c r="E7" s="39">
        <v>25</v>
      </c>
    </row>
    <row r="8" spans="1:5">
      <c r="A8" s="38">
        <v>0</v>
      </c>
      <c r="B8" s="38" t="s">
        <v>33</v>
      </c>
      <c r="C8" s="38">
        <v>7</v>
      </c>
      <c r="D8" s="38" t="s">
        <v>26</v>
      </c>
      <c r="E8" s="39">
        <v>25</v>
      </c>
    </row>
    <row r="9" spans="1:5">
      <c r="A9" s="38">
        <v>0</v>
      </c>
      <c r="B9" s="38" t="s">
        <v>33</v>
      </c>
      <c r="C9" s="38">
        <v>8</v>
      </c>
      <c r="D9" s="38" t="s">
        <v>25</v>
      </c>
      <c r="E9" s="39">
        <v>30</v>
      </c>
    </row>
    <row r="10" spans="1:5">
      <c r="A10" s="38">
        <v>0</v>
      </c>
      <c r="B10" s="38" t="s">
        <v>33</v>
      </c>
      <c r="C10" s="38">
        <v>9</v>
      </c>
      <c r="D10" s="38" t="s">
        <v>24</v>
      </c>
      <c r="E10" s="39">
        <v>30</v>
      </c>
    </row>
    <row r="11" spans="1:5">
      <c r="A11" s="38">
        <v>0</v>
      </c>
      <c r="B11" s="38" t="s">
        <v>33</v>
      </c>
      <c r="C11" s="38">
        <v>10</v>
      </c>
      <c r="D11" s="38" t="s">
        <v>23</v>
      </c>
      <c r="E11" s="39">
        <v>35</v>
      </c>
    </row>
    <row r="12" spans="1:5">
      <c r="A12" s="38">
        <v>0</v>
      </c>
      <c r="B12" s="38" t="s">
        <v>33</v>
      </c>
      <c r="C12" s="38">
        <v>11</v>
      </c>
      <c r="D12" s="38" t="s">
        <v>22</v>
      </c>
      <c r="E12" s="39">
        <v>35</v>
      </c>
    </row>
    <row r="13" spans="1:5">
      <c r="A13" s="38">
        <v>0</v>
      </c>
      <c r="B13" s="38" t="s">
        <v>33</v>
      </c>
      <c r="C13" s="38">
        <v>12</v>
      </c>
      <c r="D13" s="38" t="s">
        <v>21</v>
      </c>
      <c r="E13" s="39">
        <v>40</v>
      </c>
    </row>
    <row r="14" spans="1:5">
      <c r="A14" s="38">
        <v>1</v>
      </c>
      <c r="B14" s="38" t="s">
        <v>32</v>
      </c>
      <c r="C14" s="38">
        <v>2</v>
      </c>
      <c r="D14" s="38" t="s">
        <v>31</v>
      </c>
      <c r="E14" s="39">
        <v>20</v>
      </c>
    </row>
    <row r="15" spans="1:5">
      <c r="A15" s="38">
        <v>1</v>
      </c>
      <c r="B15" s="38" t="s">
        <v>32</v>
      </c>
      <c r="C15" s="38">
        <v>3</v>
      </c>
      <c r="D15" s="38" t="s">
        <v>30</v>
      </c>
      <c r="E15" s="39">
        <v>20</v>
      </c>
    </row>
    <row r="16" spans="1:5">
      <c r="A16" s="38">
        <v>1</v>
      </c>
      <c r="B16" s="38" t="s">
        <v>32</v>
      </c>
      <c r="C16" s="38">
        <v>4</v>
      </c>
      <c r="D16" s="38" t="s">
        <v>29</v>
      </c>
      <c r="E16" s="39">
        <v>20</v>
      </c>
    </row>
    <row r="17" spans="1:5">
      <c r="A17" s="38">
        <v>1</v>
      </c>
      <c r="B17" s="38" t="s">
        <v>32</v>
      </c>
      <c r="C17" s="38">
        <v>5</v>
      </c>
      <c r="D17" s="38" t="s">
        <v>28</v>
      </c>
      <c r="E17" s="39">
        <v>20</v>
      </c>
    </row>
    <row r="18" spans="1:5">
      <c r="A18" s="38">
        <v>1</v>
      </c>
      <c r="B18" s="38" t="s">
        <v>32</v>
      </c>
      <c r="C18" s="38">
        <v>6</v>
      </c>
      <c r="D18" s="38" t="s">
        <v>27</v>
      </c>
      <c r="E18" s="39">
        <v>20</v>
      </c>
    </row>
    <row r="19" spans="1:5">
      <c r="A19" s="38">
        <v>1</v>
      </c>
      <c r="B19" s="38" t="s">
        <v>32</v>
      </c>
      <c r="C19" s="38">
        <v>7</v>
      </c>
      <c r="D19" s="38" t="s">
        <v>26</v>
      </c>
      <c r="E19" s="39">
        <v>25</v>
      </c>
    </row>
    <row r="20" spans="1:5">
      <c r="A20" s="38">
        <v>1</v>
      </c>
      <c r="B20" s="38" t="s">
        <v>32</v>
      </c>
      <c r="C20" s="38">
        <v>8</v>
      </c>
      <c r="D20" s="38" t="s">
        <v>25</v>
      </c>
      <c r="E20" s="39">
        <v>25</v>
      </c>
    </row>
    <row r="21" spans="1:5">
      <c r="A21" s="38">
        <v>1</v>
      </c>
      <c r="B21" s="38" t="s">
        <v>32</v>
      </c>
      <c r="C21" s="38">
        <v>9</v>
      </c>
      <c r="D21" s="38" t="s">
        <v>24</v>
      </c>
      <c r="E21" s="39">
        <v>25</v>
      </c>
    </row>
    <row r="22" spans="1:5">
      <c r="A22" s="38">
        <v>1</v>
      </c>
      <c r="B22" s="38" t="s">
        <v>32</v>
      </c>
      <c r="C22" s="38">
        <v>10</v>
      </c>
      <c r="D22" s="38" t="s">
        <v>23</v>
      </c>
      <c r="E22" s="39">
        <v>30</v>
      </c>
    </row>
    <row r="23" spans="1:5">
      <c r="A23" s="38">
        <v>1</v>
      </c>
      <c r="B23" s="38" t="s">
        <v>32</v>
      </c>
      <c r="C23" s="38">
        <v>11</v>
      </c>
      <c r="D23" s="38" t="s">
        <v>22</v>
      </c>
      <c r="E23" s="39">
        <v>30</v>
      </c>
    </row>
    <row r="24" spans="1:5">
      <c r="A24" s="38">
        <v>1</v>
      </c>
      <c r="B24" s="38" t="s">
        <v>32</v>
      </c>
      <c r="C24" s="38">
        <v>12</v>
      </c>
      <c r="D24" s="38" t="s">
        <v>21</v>
      </c>
      <c r="E24" s="39">
        <v>35</v>
      </c>
    </row>
    <row r="25" spans="1:5">
      <c r="A25" s="38">
        <v>2</v>
      </c>
      <c r="B25" s="38" t="s">
        <v>31</v>
      </c>
      <c r="C25" s="38">
        <v>3</v>
      </c>
      <c r="D25" s="38" t="s">
        <v>30</v>
      </c>
      <c r="E25" s="39">
        <v>20</v>
      </c>
    </row>
    <row r="26" spans="1:5">
      <c r="A26" s="38">
        <v>2</v>
      </c>
      <c r="B26" s="38" t="s">
        <v>31</v>
      </c>
      <c r="C26" s="38">
        <v>4</v>
      </c>
      <c r="D26" s="38" t="s">
        <v>29</v>
      </c>
      <c r="E26" s="39">
        <v>20</v>
      </c>
    </row>
    <row r="27" spans="1:5">
      <c r="A27" s="38">
        <v>2</v>
      </c>
      <c r="B27" s="38" t="s">
        <v>31</v>
      </c>
      <c r="C27" s="38">
        <v>5</v>
      </c>
      <c r="D27" s="38" t="s">
        <v>28</v>
      </c>
      <c r="E27" s="39">
        <v>20</v>
      </c>
    </row>
    <row r="28" spans="1:5">
      <c r="A28" s="38">
        <v>2</v>
      </c>
      <c r="B28" s="38" t="s">
        <v>31</v>
      </c>
      <c r="C28" s="38">
        <v>6</v>
      </c>
      <c r="D28" s="38" t="s">
        <v>27</v>
      </c>
      <c r="E28" s="39">
        <v>20</v>
      </c>
    </row>
    <row r="29" spans="1:5">
      <c r="A29" s="38">
        <v>2</v>
      </c>
      <c r="B29" s="38" t="s">
        <v>31</v>
      </c>
      <c r="C29" s="38">
        <v>7</v>
      </c>
      <c r="D29" s="38" t="s">
        <v>26</v>
      </c>
      <c r="E29" s="39">
        <v>20</v>
      </c>
    </row>
    <row r="30" spans="1:5">
      <c r="A30" s="38">
        <v>2</v>
      </c>
      <c r="B30" s="38" t="s">
        <v>31</v>
      </c>
      <c r="C30" s="38">
        <v>8</v>
      </c>
      <c r="D30" s="38" t="s">
        <v>25</v>
      </c>
      <c r="E30" s="39">
        <v>25</v>
      </c>
    </row>
    <row r="31" spans="1:5">
      <c r="A31" s="38">
        <v>2</v>
      </c>
      <c r="B31" s="38" t="s">
        <v>31</v>
      </c>
      <c r="C31" s="38">
        <v>9</v>
      </c>
      <c r="D31" s="38" t="s">
        <v>24</v>
      </c>
      <c r="E31" s="39">
        <v>25</v>
      </c>
    </row>
    <row r="32" spans="1:5">
      <c r="A32" s="38">
        <v>2</v>
      </c>
      <c r="B32" s="38" t="s">
        <v>31</v>
      </c>
      <c r="C32" s="38">
        <v>10</v>
      </c>
      <c r="D32" s="38" t="s">
        <v>23</v>
      </c>
      <c r="E32" s="39">
        <v>30</v>
      </c>
    </row>
    <row r="33" spans="1:5">
      <c r="A33" s="38">
        <v>2</v>
      </c>
      <c r="B33" s="38" t="s">
        <v>31</v>
      </c>
      <c r="C33" s="38">
        <v>11</v>
      </c>
      <c r="D33" s="38" t="s">
        <v>22</v>
      </c>
      <c r="E33" s="39">
        <v>30</v>
      </c>
    </row>
    <row r="34" spans="1:5">
      <c r="A34" s="38">
        <v>2</v>
      </c>
      <c r="B34" s="38" t="s">
        <v>31</v>
      </c>
      <c r="C34" s="38">
        <v>12</v>
      </c>
      <c r="D34" s="38" t="s">
        <v>21</v>
      </c>
      <c r="E34" s="39">
        <v>35</v>
      </c>
    </row>
    <row r="35" spans="1:5">
      <c r="A35" s="38">
        <v>3</v>
      </c>
      <c r="B35" s="38" t="s">
        <v>30</v>
      </c>
      <c r="C35" s="38">
        <v>4</v>
      </c>
      <c r="D35" s="38" t="s">
        <v>29</v>
      </c>
      <c r="E35" s="39">
        <v>20</v>
      </c>
    </row>
    <row r="36" spans="1:5">
      <c r="A36" s="38">
        <v>3</v>
      </c>
      <c r="B36" s="38" t="s">
        <v>30</v>
      </c>
      <c r="C36" s="38">
        <v>5</v>
      </c>
      <c r="D36" s="38" t="s">
        <v>28</v>
      </c>
      <c r="E36" s="39">
        <v>20</v>
      </c>
    </row>
    <row r="37" spans="1:5">
      <c r="A37" s="38">
        <v>3</v>
      </c>
      <c r="B37" s="38" t="s">
        <v>30</v>
      </c>
      <c r="C37" s="38">
        <v>6</v>
      </c>
      <c r="D37" s="38" t="s">
        <v>27</v>
      </c>
      <c r="E37" s="39">
        <v>20</v>
      </c>
    </row>
    <row r="38" spans="1:5">
      <c r="A38" s="38">
        <v>3</v>
      </c>
      <c r="B38" s="38" t="s">
        <v>30</v>
      </c>
      <c r="C38" s="38">
        <v>7</v>
      </c>
      <c r="D38" s="38" t="s">
        <v>26</v>
      </c>
      <c r="E38" s="39">
        <v>20</v>
      </c>
    </row>
    <row r="39" spans="1:5">
      <c r="A39" s="38">
        <v>3</v>
      </c>
      <c r="B39" s="38" t="s">
        <v>30</v>
      </c>
      <c r="C39" s="38">
        <v>8</v>
      </c>
      <c r="D39" s="38" t="s">
        <v>25</v>
      </c>
      <c r="E39" s="39">
        <v>25</v>
      </c>
    </row>
    <row r="40" spans="1:5">
      <c r="A40" s="38">
        <v>3</v>
      </c>
      <c r="B40" s="38" t="s">
        <v>30</v>
      </c>
      <c r="C40" s="38">
        <v>9</v>
      </c>
      <c r="D40" s="38" t="s">
        <v>24</v>
      </c>
      <c r="E40" s="39">
        <v>25</v>
      </c>
    </row>
    <row r="41" spans="1:5">
      <c r="A41" s="38">
        <v>3</v>
      </c>
      <c r="B41" s="38" t="s">
        <v>30</v>
      </c>
      <c r="C41" s="38">
        <v>10</v>
      </c>
      <c r="D41" s="38" t="s">
        <v>23</v>
      </c>
      <c r="E41" s="39">
        <v>30</v>
      </c>
    </row>
    <row r="42" spans="1:5">
      <c r="A42" s="38">
        <v>3</v>
      </c>
      <c r="B42" s="38" t="s">
        <v>30</v>
      </c>
      <c r="C42" s="38">
        <v>11</v>
      </c>
      <c r="D42" s="38" t="s">
        <v>22</v>
      </c>
      <c r="E42" s="39">
        <v>30</v>
      </c>
    </row>
    <row r="43" spans="1:5">
      <c r="A43" s="38">
        <v>3</v>
      </c>
      <c r="B43" s="38" t="s">
        <v>30</v>
      </c>
      <c r="C43" s="38">
        <v>12</v>
      </c>
      <c r="D43" s="38" t="s">
        <v>21</v>
      </c>
      <c r="E43" s="39">
        <v>30</v>
      </c>
    </row>
    <row r="44" spans="1:5">
      <c r="A44" s="38">
        <v>4</v>
      </c>
      <c r="B44" s="38" t="s">
        <v>29</v>
      </c>
      <c r="C44" s="38">
        <v>5</v>
      </c>
      <c r="D44" s="38" t="s">
        <v>28</v>
      </c>
      <c r="E44" s="39">
        <v>20</v>
      </c>
    </row>
    <row r="45" spans="1:5">
      <c r="A45" s="38">
        <v>4</v>
      </c>
      <c r="B45" s="38" t="s">
        <v>29</v>
      </c>
      <c r="C45" s="38">
        <v>6</v>
      </c>
      <c r="D45" s="38" t="s">
        <v>27</v>
      </c>
      <c r="E45" s="39">
        <v>20</v>
      </c>
    </row>
    <row r="46" spans="1:5">
      <c r="A46" s="38">
        <v>4</v>
      </c>
      <c r="B46" s="38" t="s">
        <v>29</v>
      </c>
      <c r="C46" s="38">
        <v>7</v>
      </c>
      <c r="D46" s="38" t="s">
        <v>26</v>
      </c>
      <c r="E46" s="39">
        <v>20</v>
      </c>
    </row>
    <row r="47" spans="1:5">
      <c r="A47" s="38">
        <v>4</v>
      </c>
      <c r="B47" s="38" t="s">
        <v>29</v>
      </c>
      <c r="C47" s="38">
        <v>8</v>
      </c>
      <c r="D47" s="38" t="s">
        <v>25</v>
      </c>
      <c r="E47" s="39">
        <v>20</v>
      </c>
    </row>
    <row r="48" spans="1:5">
      <c r="A48" s="38">
        <v>4</v>
      </c>
      <c r="B48" s="38" t="s">
        <v>29</v>
      </c>
      <c r="C48" s="38">
        <v>9</v>
      </c>
      <c r="D48" s="38" t="s">
        <v>24</v>
      </c>
      <c r="E48" s="39">
        <v>25</v>
      </c>
    </row>
    <row r="49" spans="1:5">
      <c r="A49" s="38">
        <v>4</v>
      </c>
      <c r="B49" s="38" t="s">
        <v>29</v>
      </c>
      <c r="C49" s="38">
        <v>10</v>
      </c>
      <c r="D49" s="38" t="s">
        <v>23</v>
      </c>
      <c r="E49" s="39">
        <v>25</v>
      </c>
    </row>
    <row r="50" spans="1:5">
      <c r="A50" s="38">
        <v>4</v>
      </c>
      <c r="B50" s="39" t="s">
        <v>29</v>
      </c>
      <c r="C50" s="39">
        <v>11</v>
      </c>
      <c r="D50" s="39" t="s">
        <v>22</v>
      </c>
      <c r="E50" s="39">
        <v>30</v>
      </c>
    </row>
    <row r="51" spans="1:5">
      <c r="A51" s="38">
        <v>4</v>
      </c>
      <c r="B51" s="38" t="s">
        <v>29</v>
      </c>
      <c r="C51" s="38">
        <v>12</v>
      </c>
      <c r="D51" s="38" t="s">
        <v>21</v>
      </c>
      <c r="E51" s="39">
        <v>30</v>
      </c>
    </row>
    <row r="52" spans="1:5">
      <c r="A52" s="38">
        <v>5</v>
      </c>
      <c r="B52" s="38" t="s">
        <v>28</v>
      </c>
      <c r="C52" s="38">
        <v>6</v>
      </c>
      <c r="D52" s="38" t="s">
        <v>27</v>
      </c>
      <c r="E52" s="39">
        <v>20</v>
      </c>
    </row>
    <row r="53" spans="1:5">
      <c r="A53" s="38">
        <v>5</v>
      </c>
      <c r="B53" s="38" t="s">
        <v>28</v>
      </c>
      <c r="C53" s="38">
        <v>7</v>
      </c>
      <c r="D53" s="38" t="s">
        <v>26</v>
      </c>
      <c r="E53" s="39">
        <v>20</v>
      </c>
    </row>
    <row r="54" spans="1:5">
      <c r="A54" s="38">
        <v>5</v>
      </c>
      <c r="B54" s="38" t="s">
        <v>28</v>
      </c>
      <c r="C54" s="38">
        <v>8</v>
      </c>
      <c r="D54" s="38" t="s">
        <v>25</v>
      </c>
      <c r="E54" s="39">
        <v>20</v>
      </c>
    </row>
    <row r="55" spans="1:5">
      <c r="A55" s="38">
        <v>5</v>
      </c>
      <c r="B55" s="38" t="s">
        <v>28</v>
      </c>
      <c r="C55" s="38">
        <v>9</v>
      </c>
      <c r="D55" s="38" t="s">
        <v>24</v>
      </c>
      <c r="E55" s="39">
        <v>20</v>
      </c>
    </row>
    <row r="56" spans="1:5">
      <c r="A56" s="38">
        <v>5</v>
      </c>
      <c r="B56" s="38" t="s">
        <v>28</v>
      </c>
      <c r="C56" s="38">
        <v>10</v>
      </c>
      <c r="D56" s="38" t="s">
        <v>23</v>
      </c>
      <c r="E56" s="39">
        <v>25</v>
      </c>
    </row>
    <row r="57" spans="1:5">
      <c r="A57" s="38">
        <v>5</v>
      </c>
      <c r="B57" s="38" t="s">
        <v>28</v>
      </c>
      <c r="C57" s="38">
        <v>11</v>
      </c>
      <c r="D57" s="38" t="s">
        <v>22</v>
      </c>
      <c r="E57" s="39">
        <v>25</v>
      </c>
    </row>
    <row r="58" spans="1:5">
      <c r="A58" s="38">
        <v>5</v>
      </c>
      <c r="B58" s="38" t="s">
        <v>28</v>
      </c>
      <c r="C58" s="38">
        <v>12</v>
      </c>
      <c r="D58" s="38" t="s">
        <v>21</v>
      </c>
      <c r="E58" s="39">
        <v>25</v>
      </c>
    </row>
    <row r="59" spans="1:5">
      <c r="A59" s="38">
        <v>6</v>
      </c>
      <c r="B59" s="38" t="s">
        <v>27</v>
      </c>
      <c r="C59" s="38">
        <v>7</v>
      </c>
      <c r="D59" s="38" t="s">
        <v>26</v>
      </c>
      <c r="E59" s="39">
        <v>20</v>
      </c>
    </row>
    <row r="60" spans="1:5">
      <c r="A60" s="38">
        <v>6</v>
      </c>
      <c r="B60" s="38" t="s">
        <v>27</v>
      </c>
      <c r="C60" s="38">
        <v>8</v>
      </c>
      <c r="D60" s="38" t="s">
        <v>25</v>
      </c>
      <c r="E60" s="39">
        <v>20</v>
      </c>
    </row>
    <row r="61" spans="1:5">
      <c r="A61" s="38">
        <v>6</v>
      </c>
      <c r="B61" s="38" t="s">
        <v>27</v>
      </c>
      <c r="C61" s="38">
        <v>9</v>
      </c>
      <c r="D61" s="38" t="s">
        <v>24</v>
      </c>
      <c r="E61" s="39">
        <v>20</v>
      </c>
    </row>
    <row r="62" spans="1:5">
      <c r="A62" s="38">
        <v>6</v>
      </c>
      <c r="B62" s="38" t="s">
        <v>27</v>
      </c>
      <c r="C62" s="38">
        <v>10</v>
      </c>
      <c r="D62" s="38" t="s">
        <v>23</v>
      </c>
      <c r="E62" s="39">
        <v>25</v>
      </c>
    </row>
    <row r="63" spans="1:5">
      <c r="A63" s="38">
        <v>6</v>
      </c>
      <c r="B63" s="38" t="s">
        <v>27</v>
      </c>
      <c r="C63" s="38">
        <v>11</v>
      </c>
      <c r="D63" s="38" t="s">
        <v>22</v>
      </c>
      <c r="E63" s="39">
        <v>25</v>
      </c>
    </row>
    <row r="64" spans="1:5">
      <c r="A64" s="38">
        <v>6</v>
      </c>
      <c r="B64" s="38" t="s">
        <v>27</v>
      </c>
      <c r="C64" s="38">
        <v>12</v>
      </c>
      <c r="D64" s="38" t="s">
        <v>21</v>
      </c>
      <c r="E64" s="39">
        <v>25</v>
      </c>
    </row>
    <row r="65" spans="1:5">
      <c r="A65" s="38">
        <v>7</v>
      </c>
      <c r="B65" s="38" t="s">
        <v>26</v>
      </c>
      <c r="C65" s="38">
        <v>8</v>
      </c>
      <c r="D65" s="38" t="s">
        <v>25</v>
      </c>
      <c r="E65" s="39">
        <v>20</v>
      </c>
    </row>
    <row r="66" spans="1:5">
      <c r="A66" s="38">
        <v>7</v>
      </c>
      <c r="B66" s="38" t="s">
        <v>26</v>
      </c>
      <c r="C66" s="38">
        <v>9</v>
      </c>
      <c r="D66" s="38" t="s">
        <v>24</v>
      </c>
      <c r="E66" s="39">
        <v>20</v>
      </c>
    </row>
    <row r="67" spans="1:5">
      <c r="A67" s="38">
        <v>7</v>
      </c>
      <c r="B67" s="38" t="s">
        <v>26</v>
      </c>
      <c r="C67" s="38">
        <v>10</v>
      </c>
      <c r="D67" s="38" t="s">
        <v>23</v>
      </c>
      <c r="E67" s="39">
        <v>20</v>
      </c>
    </row>
    <row r="68" spans="1:5">
      <c r="A68" s="38">
        <v>7</v>
      </c>
      <c r="B68" s="38" t="s">
        <v>26</v>
      </c>
      <c r="C68" s="38">
        <v>11</v>
      </c>
      <c r="D68" s="38" t="s">
        <v>22</v>
      </c>
      <c r="E68" s="39">
        <v>25</v>
      </c>
    </row>
    <row r="69" spans="1:5">
      <c r="A69" s="38">
        <v>7</v>
      </c>
      <c r="B69" s="38" t="s">
        <v>26</v>
      </c>
      <c r="C69" s="38">
        <v>12</v>
      </c>
      <c r="D69" s="38" t="s">
        <v>21</v>
      </c>
      <c r="E69" s="39">
        <v>25</v>
      </c>
    </row>
    <row r="70" spans="1:5">
      <c r="A70" s="38">
        <v>8</v>
      </c>
      <c r="B70" s="38" t="s">
        <v>25</v>
      </c>
      <c r="C70" s="38">
        <v>9</v>
      </c>
      <c r="D70" s="38" t="s">
        <v>24</v>
      </c>
      <c r="E70" s="39">
        <v>20</v>
      </c>
    </row>
    <row r="71" spans="1:5">
      <c r="A71" s="38">
        <v>8</v>
      </c>
      <c r="B71" s="38" t="s">
        <v>25</v>
      </c>
      <c r="C71" s="38">
        <v>10</v>
      </c>
      <c r="D71" s="38" t="s">
        <v>23</v>
      </c>
      <c r="E71" s="39">
        <v>20</v>
      </c>
    </row>
    <row r="72" spans="1:5">
      <c r="A72" s="38">
        <v>8</v>
      </c>
      <c r="B72" s="38" t="s">
        <v>25</v>
      </c>
      <c r="C72" s="38">
        <v>11</v>
      </c>
      <c r="D72" s="38" t="s">
        <v>22</v>
      </c>
      <c r="E72" s="39">
        <v>20</v>
      </c>
    </row>
    <row r="73" spans="1:5">
      <c r="A73" s="38">
        <v>8</v>
      </c>
      <c r="B73" s="38" t="s">
        <v>25</v>
      </c>
      <c r="C73" s="38">
        <v>12</v>
      </c>
      <c r="D73" s="38" t="s">
        <v>21</v>
      </c>
      <c r="E73" s="39">
        <v>20</v>
      </c>
    </row>
    <row r="74" spans="1:5">
      <c r="A74" s="38">
        <v>9</v>
      </c>
      <c r="B74" s="38" t="s">
        <v>24</v>
      </c>
      <c r="C74" s="38">
        <v>10</v>
      </c>
      <c r="D74" s="38" t="s">
        <v>23</v>
      </c>
      <c r="E74" s="39">
        <v>20</v>
      </c>
    </row>
    <row r="75" spans="1:5">
      <c r="A75" s="38">
        <v>9</v>
      </c>
      <c r="B75" s="38" t="s">
        <v>24</v>
      </c>
      <c r="C75" s="38">
        <v>11</v>
      </c>
      <c r="D75" s="38" t="s">
        <v>22</v>
      </c>
      <c r="E75" s="39">
        <v>20</v>
      </c>
    </row>
    <row r="76" spans="1:5">
      <c r="A76" s="38">
        <v>9</v>
      </c>
      <c r="B76" s="38" t="s">
        <v>24</v>
      </c>
      <c r="C76" s="38">
        <v>12</v>
      </c>
      <c r="D76" s="38" t="s">
        <v>21</v>
      </c>
      <c r="E76" s="39">
        <v>20</v>
      </c>
    </row>
    <row r="77" spans="1:5">
      <c r="A77" s="38">
        <v>10</v>
      </c>
      <c r="B77" s="38" t="s">
        <v>23</v>
      </c>
      <c r="C77" s="38">
        <v>11</v>
      </c>
      <c r="D77" s="38" t="s">
        <v>22</v>
      </c>
      <c r="E77" s="39">
        <v>20</v>
      </c>
    </row>
    <row r="78" spans="1:5">
      <c r="A78" s="38">
        <v>10</v>
      </c>
      <c r="B78" s="38" t="s">
        <v>23</v>
      </c>
      <c r="C78" s="38">
        <v>12</v>
      </c>
      <c r="D78" s="38" t="s">
        <v>21</v>
      </c>
      <c r="E78" s="39">
        <v>20</v>
      </c>
    </row>
    <row r="79" spans="1:5">
      <c r="A79" s="38">
        <v>11</v>
      </c>
      <c r="B79" s="38" t="s">
        <v>22</v>
      </c>
      <c r="C79" s="38">
        <v>12</v>
      </c>
      <c r="D79" s="38" t="s">
        <v>21</v>
      </c>
      <c r="E79" s="3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 ROUTE</vt:lpstr>
      <vt:lpstr>KLM TO INFO FARE</vt:lpstr>
      <vt:lpstr>INFO TO KLM FARE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2026-09-02T05:25:46Z</dcterms:created>
  <dcterms:modified xsi:type="dcterms:W3CDTF">2026-09-02T05:28:32Z</dcterms:modified>
</cp:coreProperties>
</file>