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10" activeTab="1"/>
  </bookViews>
  <sheets>
    <sheet name="KALAMASSERY" sheetId="1" r:id="rId1"/>
    <sheet name="ROUTE &amp; FARE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1" i="1" l="1"/>
  <c r="R50" i="1"/>
  <c r="R44" i="1"/>
  <c r="R43" i="1"/>
  <c r="M43" i="1"/>
  <c r="P42" i="1"/>
  <c r="M42" i="1"/>
  <c r="L42" i="1"/>
  <c r="M41" i="1"/>
  <c r="L41" i="1"/>
  <c r="M40" i="1"/>
  <c r="L40" i="1"/>
  <c r="M39" i="1"/>
  <c r="L39" i="1"/>
  <c r="X38" i="1"/>
  <c r="M38" i="1"/>
  <c r="L38" i="1"/>
  <c r="Z37" i="1"/>
  <c r="X37" i="1"/>
  <c r="M37" i="1"/>
  <c r="O38" i="1" s="1"/>
  <c r="L37" i="1"/>
  <c r="M36" i="1"/>
  <c r="M35" i="1"/>
  <c r="M34" i="1"/>
  <c r="L34" i="1"/>
  <c r="W33" i="1"/>
  <c r="M33" i="1"/>
  <c r="L33" i="1"/>
  <c r="M32" i="1"/>
  <c r="L32" i="1"/>
  <c r="M31" i="1"/>
  <c r="L31" i="1"/>
  <c r="M30" i="1"/>
  <c r="L30" i="1"/>
  <c r="N29" i="1"/>
  <c r="N30" i="1" s="1"/>
  <c r="N31" i="1" s="1"/>
  <c r="N32" i="1" s="1"/>
  <c r="N33" i="1" s="1"/>
  <c r="N34" i="1" s="1"/>
  <c r="N36" i="1" s="1"/>
  <c r="M29" i="1"/>
  <c r="L29" i="1"/>
  <c r="N28" i="1"/>
  <c r="M28" i="1"/>
  <c r="Z27" i="1"/>
  <c r="M27" i="1"/>
  <c r="O37" i="1" s="1"/>
  <c r="L27" i="1"/>
  <c r="I27" i="1"/>
  <c r="K27" i="1" s="1"/>
  <c r="C28" i="1" s="1"/>
  <c r="D28" i="1" s="1"/>
  <c r="E28" i="1" s="1"/>
  <c r="F28" i="1" s="1"/>
  <c r="G28" i="1" s="1"/>
  <c r="H28" i="1" s="1"/>
  <c r="C29" i="1" s="1"/>
  <c r="D29" i="1" s="1"/>
  <c r="I29" i="1" s="1"/>
  <c r="K29" i="1" s="1"/>
  <c r="C30" i="1" s="1"/>
  <c r="D30" i="1" s="1"/>
  <c r="D27" i="1"/>
  <c r="C27" i="1"/>
  <c r="R19" i="1"/>
  <c r="M19" i="1"/>
  <c r="R18" i="1"/>
  <c r="M18" i="1"/>
  <c r="L18" i="1"/>
  <c r="AB17" i="1"/>
  <c r="P17" i="1"/>
  <c r="M17" i="1"/>
  <c r="L17" i="1"/>
  <c r="M16" i="1"/>
  <c r="N12" i="1" s="1"/>
  <c r="L16" i="1"/>
  <c r="M15" i="1"/>
  <c r="M14" i="1"/>
  <c r="L14" i="1"/>
  <c r="M13" i="1"/>
  <c r="L13" i="1"/>
  <c r="M12" i="1"/>
  <c r="L12" i="1"/>
  <c r="X11" i="1"/>
  <c r="X12" i="1" s="1"/>
  <c r="M11" i="1"/>
  <c r="L11" i="1"/>
  <c r="M10" i="1"/>
  <c r="M9" i="1"/>
  <c r="M8" i="1"/>
  <c r="M7" i="1"/>
  <c r="M6" i="1"/>
  <c r="L6" i="1"/>
  <c r="M5" i="1"/>
  <c r="L5" i="1"/>
  <c r="O4" i="1"/>
  <c r="O5" i="1" s="1"/>
  <c r="O6" i="1" s="1"/>
  <c r="O7" i="1" s="1"/>
  <c r="O8" i="1" s="1"/>
  <c r="O9" i="1" s="1"/>
  <c r="O10" i="1" s="1"/>
  <c r="O11" i="1" s="1"/>
  <c r="M4" i="1"/>
  <c r="N11" i="1" s="1"/>
  <c r="L4" i="1"/>
  <c r="C4" i="1"/>
  <c r="D4" i="1" s="1"/>
  <c r="Z4" i="1" l="1"/>
  <c r="AB4" i="1" s="1"/>
  <c r="AC4" i="1" s="1"/>
  <c r="I4" i="1"/>
  <c r="K4" i="1" s="1"/>
  <c r="C5" i="1" s="1"/>
  <c r="D5" i="1" s="1"/>
  <c r="I30" i="1"/>
  <c r="K30" i="1" s="1"/>
  <c r="C31" i="1" s="1"/>
  <c r="D31" i="1" s="1"/>
  <c r="Z30" i="1"/>
  <c r="AB18" i="1" s="1"/>
  <c r="I31" i="1" l="1"/>
  <c r="Z31" i="1"/>
  <c r="AB19" i="1" s="1"/>
  <c r="K31" i="1"/>
  <c r="C32" i="1" s="1"/>
  <c r="D32" i="1" s="1"/>
  <c r="I5" i="1"/>
  <c r="J5" i="1" s="1"/>
  <c r="K5" i="1" s="1"/>
  <c r="C6" i="1" s="1"/>
  <c r="D6" i="1" s="1"/>
  <c r="Z5" i="1"/>
  <c r="AB5" i="1" s="1"/>
  <c r="K32" i="1" l="1"/>
  <c r="C33" i="1" s="1"/>
  <c r="D33" i="1" s="1"/>
  <c r="I32" i="1"/>
  <c r="Z32" i="1"/>
  <c r="AB20" i="1" s="1"/>
  <c r="Z6" i="1"/>
  <c r="AB6" i="1" s="1"/>
  <c r="I6" i="1"/>
  <c r="K6" i="1" s="1"/>
  <c r="C7" i="1" s="1"/>
  <c r="D7" i="1" s="1"/>
  <c r="I7" i="1" l="1"/>
  <c r="K7" i="1" s="1"/>
  <c r="C8" i="1" s="1"/>
  <c r="D8" i="1" s="1"/>
  <c r="Z7" i="1"/>
  <c r="AB7" i="1" s="1"/>
  <c r="AC5" i="1"/>
  <c r="AC6" i="1"/>
  <c r="I33" i="1"/>
  <c r="Z33" i="1"/>
  <c r="AB21" i="1" s="1"/>
  <c r="K33" i="1"/>
  <c r="C34" i="1" s="1"/>
  <c r="D34" i="1" s="1"/>
  <c r="AC7" i="1" l="1"/>
  <c r="AC8" i="1"/>
  <c r="K34" i="1"/>
  <c r="C35" i="1" s="1"/>
  <c r="D35" i="1" s="1"/>
  <c r="I35" i="1" s="1"/>
  <c r="K35" i="1" s="1"/>
  <c r="C36" i="1" s="1"/>
  <c r="D36" i="1" s="1"/>
  <c r="Z34" i="1"/>
  <c r="AB22" i="1" s="1"/>
  <c r="AC14" i="1" s="1"/>
  <c r="I34" i="1"/>
  <c r="I8" i="1"/>
  <c r="K8" i="1" s="1"/>
  <c r="C9" i="1" s="1"/>
  <c r="D9" i="1" s="1"/>
  <c r="Z8" i="1"/>
  <c r="AB8" i="1" s="1"/>
  <c r="AC9" i="1" l="1"/>
  <c r="AC10" i="1"/>
  <c r="I9" i="1"/>
  <c r="K9" i="1" s="1"/>
  <c r="C10" i="1" s="1"/>
  <c r="D10" i="1" s="1"/>
  <c r="Z9" i="1"/>
  <c r="AB9" i="1" s="1"/>
  <c r="AC11" i="1" s="1"/>
  <c r="B36" i="1"/>
  <c r="B37" i="1" s="1"/>
  <c r="C37" i="1" s="1"/>
  <c r="D37" i="1" s="1"/>
  <c r="Z36" i="1"/>
  <c r="AB23" i="1" s="1"/>
  <c r="Z38" i="1" l="1"/>
  <c r="AB24" i="1" s="1"/>
  <c r="G37" i="1"/>
  <c r="H37" i="1" s="1"/>
  <c r="E37" i="1" s="1"/>
  <c r="F37" i="1" s="1"/>
  <c r="C38" i="1" s="1"/>
  <c r="D38" i="1" s="1"/>
  <c r="I10" i="1"/>
  <c r="K10" i="1" s="1"/>
  <c r="C11" i="1" s="1"/>
  <c r="D11" i="1" s="1"/>
  <c r="Z10" i="1"/>
  <c r="AB10" i="1" s="1"/>
  <c r="Z11" i="1" l="1"/>
  <c r="I11" i="1"/>
  <c r="K11" i="1" s="1"/>
  <c r="C12" i="1" s="1"/>
  <c r="AC12" i="1"/>
  <c r="AC13" i="1"/>
  <c r="G38" i="1"/>
  <c r="H38" i="1" s="1"/>
  <c r="E38" i="1" s="1"/>
  <c r="F38" i="1" s="1"/>
  <c r="C39" i="1" s="1"/>
  <c r="D39" i="1" s="1"/>
  <c r="Z39" i="1"/>
  <c r="AB25" i="1" s="1"/>
  <c r="I39" i="1" l="1"/>
  <c r="K39" i="1" s="1"/>
  <c r="C40" i="1" s="1"/>
  <c r="D40" i="1" s="1"/>
  <c r="Z40" i="1"/>
  <c r="AB26" i="1" s="1"/>
  <c r="AC21" i="1" s="1"/>
  <c r="D12" i="1"/>
  <c r="Z12" i="1" s="1"/>
  <c r="AB11" i="1" s="1"/>
  <c r="B12" i="1"/>
  <c r="B13" i="1" s="1"/>
  <c r="C13" i="1" s="1"/>
  <c r="D13" i="1" s="1"/>
  <c r="I13" i="1" l="1"/>
  <c r="K13" i="1" s="1"/>
  <c r="C14" i="1" s="1"/>
  <c r="D14" i="1" s="1"/>
  <c r="Z13" i="1"/>
  <c r="AB12" i="1" s="1"/>
  <c r="AC15" i="1"/>
  <c r="AC16" i="1"/>
  <c r="I40" i="1"/>
  <c r="K40" i="1" s="1"/>
  <c r="C41" i="1" s="1"/>
  <c r="D41" i="1" s="1"/>
  <c r="I41" i="1" s="1"/>
  <c r="K41" i="1" s="1"/>
  <c r="C42" i="1" s="1"/>
  <c r="D42" i="1" s="1"/>
  <c r="I42" i="1" s="1"/>
  <c r="K42" i="1" s="1"/>
  <c r="C43" i="1" s="1"/>
  <c r="A43" i="1" s="1"/>
  <c r="Z41" i="1"/>
  <c r="AB27" i="1" s="1"/>
  <c r="AC17" i="1" l="1"/>
  <c r="AC18" i="1"/>
  <c r="I14" i="1"/>
  <c r="K14" i="1" s="1"/>
  <c r="C15" i="1" s="1"/>
  <c r="D15" i="1" s="1"/>
  <c r="Z14" i="1"/>
  <c r="I15" i="1" l="1"/>
  <c r="J15" i="1" s="1"/>
  <c r="K15" i="1" s="1"/>
  <c r="C16" i="1" s="1"/>
  <c r="D16" i="1" s="1"/>
  <c r="Z15" i="1"/>
  <c r="Z16" i="1" l="1"/>
  <c r="AB15" i="1" s="1"/>
  <c r="I16" i="1"/>
  <c r="K16" i="1" s="1"/>
  <c r="C17" i="1" s="1"/>
  <c r="D17" i="1" s="1"/>
  <c r="Z17" i="1" l="1"/>
  <c r="AB16" i="1" s="1"/>
  <c r="I17" i="1"/>
  <c r="K17" i="1" s="1"/>
  <c r="C18" i="1" s="1"/>
  <c r="D18" i="1" s="1"/>
  <c r="I18" i="1" s="1"/>
  <c r="K18" i="1" s="1"/>
  <c r="C19" i="1" s="1"/>
  <c r="A19" i="1" s="1"/>
  <c r="AC19" i="1"/>
  <c r="AC20" i="1"/>
  <c r="AC22" i="1" l="1"/>
  <c r="AC23" i="1"/>
</calcChain>
</file>

<file path=xl/comments1.xml><?xml version="1.0" encoding="utf-8"?>
<comments xmlns="http://schemas.openxmlformats.org/spreadsheetml/2006/main">
  <authors>
    <author>Author</author>
  </authors>
  <commentList>
    <comment ref="I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15 min to medical clg from kalamaserry</t>
        </r>
      </text>
    </comment>
    <comment ref="J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Manalimuk</t>
        </r>
      </text>
    </comment>
    <comment ref="D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50 min headway. Can be reduced to 45 min.</t>
        </r>
      </text>
    </comment>
    <comment ref="I1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15 min headway</t>
        </r>
      </text>
    </comment>
    <comment ref="C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15 min runtime from medical clg</t>
        </r>
      </text>
    </comment>
    <comment ref="W33" authorId="0" shapeId="0">
      <text>
        <r>
          <rPr>
            <b/>
            <sz val="9"/>
            <color indexed="81"/>
            <rFont val="Tahoma"/>
            <family val="2"/>
          </rPr>
          <t xml:space="preserve">manalimukku medical kms
</t>
        </r>
      </text>
    </comment>
  </commentList>
</comments>
</file>

<file path=xl/sharedStrings.xml><?xml version="1.0" encoding="utf-8"?>
<sst xmlns="http://schemas.openxmlformats.org/spreadsheetml/2006/main" count="114" uniqueCount="68">
  <si>
    <t>MUTTOM ARRIVAL</t>
  </si>
  <si>
    <t>MUTTOM DEPARTURE</t>
  </si>
  <si>
    <t>KALAMASSERY ARRIVAL</t>
  </si>
  <si>
    <t xml:space="preserve"> KALAMASSERY DEPARTURE</t>
  </si>
  <si>
    <t xml:space="preserve">RAJAGIRI COLLEGE ARRIVAL </t>
  </si>
  <si>
    <t>RAJAGIRI COLLEGE DEPARTURE</t>
  </si>
  <si>
    <t>CUSAT ARRIVAL</t>
  </si>
  <si>
    <t>CUSAT DEPARTURE</t>
  </si>
  <si>
    <t xml:space="preserve">MEDICAL COLLEGE ARRIVAL </t>
  </si>
  <si>
    <t xml:space="preserve"> MANALIMUKKU/THORAPPU</t>
  </si>
  <si>
    <t>MEDICAL COLLEGE DEPARTURE</t>
  </si>
  <si>
    <t>KMS</t>
  </si>
  <si>
    <t>kms</t>
  </si>
  <si>
    <t>SOC%</t>
  </si>
  <si>
    <t>km</t>
  </si>
  <si>
    <t>min</t>
  </si>
  <si>
    <t>muttom to kalamaserry</t>
  </si>
  <si>
    <t>kalamassery to medical</t>
  </si>
  <si>
    <t>Kalamaserry- thoraap</t>
  </si>
  <si>
    <t xml:space="preserve">CUSAT to kalamaserry </t>
  </si>
  <si>
    <t xml:space="preserve">kalamaserry to CUSAT </t>
  </si>
  <si>
    <t>tea break</t>
  </si>
  <si>
    <t>kalamaserry to CUSAT</t>
  </si>
  <si>
    <t xml:space="preserve">lay over time </t>
  </si>
  <si>
    <t>Lunch break</t>
  </si>
  <si>
    <t xml:space="preserve">TOTAL KMS </t>
  </si>
  <si>
    <t xml:space="preserve">TOTAL DEAD KMS </t>
  </si>
  <si>
    <t xml:space="preserve">REST TIME </t>
  </si>
  <si>
    <t>KALAMA TO RAJAGIRI CLG</t>
  </si>
  <si>
    <t>EXTRA TIME</t>
  </si>
  <si>
    <t>RAJAGIRI TO CUSAT</t>
  </si>
  <si>
    <t>CUSAT TO KALAMASSERY</t>
  </si>
  <si>
    <t>KALAMASSERY  ARRIVAL</t>
  </si>
  <si>
    <t>KALAMASSERY TO RAJ CLG</t>
  </si>
  <si>
    <t>RAJ CLG TO CUSAT</t>
  </si>
  <si>
    <t xml:space="preserve">BUS:1 </t>
  </si>
  <si>
    <t xml:space="preserve">BUS:2 </t>
  </si>
  <si>
    <t xml:space="preserve">RAJAGIRI CUSAT </t>
  </si>
  <si>
    <t>STOP</t>
  </si>
  <si>
    <t>Kalamassery Metro LHS</t>
  </si>
  <si>
    <t>Kalamassery Metro RHS</t>
  </si>
  <si>
    <t>PREMIR</t>
  </si>
  <si>
    <t>RAJAGIRI COLLEGE</t>
  </si>
  <si>
    <t xml:space="preserve">CUSAT-BUSSTOP HIGHWAY </t>
  </si>
  <si>
    <t>CUSAT ENTRANCE STOP</t>
  </si>
  <si>
    <t>CUSAT MAIN STOP</t>
  </si>
  <si>
    <t>Manalimukku/Thorappu</t>
  </si>
  <si>
    <t>KLM TO MEDICAL COLLEGE</t>
  </si>
  <si>
    <t>HMT</t>
  </si>
  <si>
    <t xml:space="preserve">GOVT ITI </t>
  </si>
  <si>
    <t>PALLIILANGARA STOP</t>
  </si>
  <si>
    <t>TOSHIBA</t>
  </si>
  <si>
    <t>HMT COMPAY</t>
  </si>
  <si>
    <t>NIA STOP</t>
  </si>
  <si>
    <t>GAIL STOP</t>
  </si>
  <si>
    <t>MEDICAL COLLEGE STOP</t>
  </si>
  <si>
    <t xml:space="preserve">STARTUP </t>
  </si>
  <si>
    <t>MEDICAL COLLEGE INSIDE</t>
  </si>
  <si>
    <t xml:space="preserve"> </t>
  </si>
  <si>
    <t>Origin_id</t>
  </si>
  <si>
    <t>Destination_id</t>
  </si>
  <si>
    <t>Fare</t>
  </si>
  <si>
    <t>Kalamassery_Metro_Station</t>
  </si>
  <si>
    <t>Medical_college</t>
  </si>
  <si>
    <t>CUSAT</t>
  </si>
  <si>
    <t>Rajagiri_college</t>
  </si>
  <si>
    <t>FARE</t>
  </si>
  <si>
    <t>ROUTE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</si>
</sst>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h:mm:ss\ AM/PM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 applyAlignment="1">
      <alignment wrapText="1"/>
    </xf>
    <xf numFmtId="0" fontId="0" fillId="0" borderId="7" xfId="0" applyBorder="1"/>
    <xf numFmtId="0" fontId="0" fillId="0" borderId="0" xfId="0" applyBorder="1"/>
    <xf numFmtId="0" fontId="0" fillId="0" borderId="0" xfId="0" applyFill="1" applyBorder="1"/>
    <xf numFmtId="0" fontId="0" fillId="0" borderId="8" xfId="0" applyBorder="1"/>
    <xf numFmtId="0" fontId="0" fillId="0" borderId="5" xfId="0" applyBorder="1"/>
    <xf numFmtId="0" fontId="4" fillId="0" borderId="0" xfId="0" applyFont="1"/>
    <xf numFmtId="164" fontId="0" fillId="0" borderId="9" xfId="0" applyNumberFormat="1" applyBorder="1"/>
    <xf numFmtId="164" fontId="0" fillId="0" borderId="5" xfId="0" applyNumberFormat="1" applyBorder="1"/>
    <xf numFmtId="164" fontId="0" fillId="0" borderId="5" xfId="0" applyNumberFormat="1" applyFill="1" applyBorder="1"/>
    <xf numFmtId="164" fontId="0" fillId="0" borderId="10" xfId="0" applyNumberFormat="1" applyFill="1" applyBorder="1"/>
    <xf numFmtId="0" fontId="0" fillId="0" borderId="11" xfId="0" applyBorder="1"/>
    <xf numFmtId="20" fontId="0" fillId="0" borderId="0" xfId="0" applyNumberFormat="1"/>
    <xf numFmtId="164" fontId="0" fillId="2" borderId="5" xfId="0" applyNumberFormat="1" applyFill="1" applyBorder="1"/>
    <xf numFmtId="20" fontId="0" fillId="3" borderId="0" xfId="0" applyNumberFormat="1" applyFill="1"/>
    <xf numFmtId="164" fontId="0" fillId="0" borderId="10" xfId="0" applyNumberFormat="1" applyBorder="1"/>
    <xf numFmtId="164" fontId="0" fillId="4" borderId="5" xfId="0" applyNumberFormat="1" applyFill="1" applyBorder="1"/>
    <xf numFmtId="164" fontId="0" fillId="5" borderId="5" xfId="0" applyNumberFormat="1" applyFill="1" applyBorder="1"/>
    <xf numFmtId="20" fontId="0" fillId="6" borderId="0" xfId="0" applyNumberFormat="1" applyFill="1"/>
    <xf numFmtId="164" fontId="0" fillId="0" borderId="12" xfId="0" applyNumberFormat="1" applyBorder="1"/>
    <xf numFmtId="164" fontId="0" fillId="0" borderId="13" xfId="0" applyNumberFormat="1" applyBorder="1"/>
    <xf numFmtId="164" fontId="0" fillId="0" borderId="13" xfId="0" applyNumberFormat="1" applyFill="1" applyBorder="1"/>
    <xf numFmtId="164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0" fillId="0" borderId="16" xfId="0" applyFill="1" applyBorder="1"/>
    <xf numFmtId="0" fontId="0" fillId="0" borderId="17" xfId="0" applyBorder="1"/>
    <xf numFmtId="0" fontId="4" fillId="0" borderId="0" xfId="0" applyFont="1" applyAlignment="1">
      <alignment wrapText="1"/>
    </xf>
    <xf numFmtId="0" fontId="4" fillId="0" borderId="0" xfId="0" applyFont="1" applyFill="1" applyAlignment="1">
      <alignment wrapText="1"/>
    </xf>
    <xf numFmtId="20" fontId="0" fillId="0" borderId="0" xfId="0" applyNumberFormat="1" applyFill="1"/>
    <xf numFmtId="164" fontId="0" fillId="0" borderId="7" xfId="0" applyNumberFormat="1" applyFill="1" applyBorder="1"/>
    <xf numFmtId="164" fontId="0" fillId="0" borderId="18" xfId="0" applyNumberFormat="1" applyFill="1" applyBorder="1"/>
    <xf numFmtId="164" fontId="0" fillId="0" borderId="0" xfId="0" applyNumberFormat="1" applyBorder="1"/>
    <xf numFmtId="164" fontId="0" fillId="0" borderId="19" xfId="0" applyNumberFormat="1" applyFill="1" applyBorder="1"/>
    <xf numFmtId="164" fontId="0" fillId="0" borderId="9" xfId="0" applyNumberFormat="1" applyFill="1" applyBorder="1"/>
    <xf numFmtId="164" fontId="0" fillId="7" borderId="5" xfId="0" applyNumberFormat="1" applyFill="1" applyBorder="1"/>
    <xf numFmtId="0" fontId="0" fillId="0" borderId="5" xfId="0" applyFill="1" applyBorder="1"/>
    <xf numFmtId="164" fontId="0" fillId="0" borderId="14" xfId="0" applyNumberFormat="1" applyFill="1" applyBorder="1"/>
    <xf numFmtId="21" fontId="0" fillId="0" borderId="0" xfId="0" applyNumberFormat="1"/>
    <xf numFmtId="49" fontId="0" fillId="0" borderId="0" xfId="0" applyNumberFormat="1"/>
    <xf numFmtId="0" fontId="0" fillId="0" borderId="0" xfId="0" applyBorder="1" applyAlignment="1">
      <alignment horizontal="center"/>
    </xf>
    <xf numFmtId="49" fontId="0" fillId="0" borderId="0" xfId="0" applyNumberFormat="1" applyBorder="1" applyAlignment="1">
      <alignment horizontal="right"/>
    </xf>
    <xf numFmtId="49" fontId="0" fillId="0" borderId="0" xfId="0" applyNumberFormat="1" applyBorder="1"/>
    <xf numFmtId="0" fontId="0" fillId="0" borderId="0" xfId="0" applyBorder="1" applyAlignment="1"/>
    <xf numFmtId="0" fontId="1" fillId="0" borderId="0" xfId="0" applyFont="1"/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D51"/>
  <sheetViews>
    <sheetView workbookViewId="0">
      <selection activeCell="D30" sqref="D30"/>
    </sheetView>
  </sheetViews>
  <sheetFormatPr defaultRowHeight="15" x14ac:dyDescent="0.25"/>
  <cols>
    <col min="1" max="1" width="12" customWidth="1"/>
    <col min="2" max="2" width="11.5703125" customWidth="1"/>
    <col min="3" max="3" width="17.5703125" customWidth="1"/>
    <col min="4" max="4" width="16.5703125" customWidth="1"/>
    <col min="5" max="5" width="16.42578125" style="2" customWidth="1"/>
    <col min="6" max="6" width="17.5703125" style="2" customWidth="1"/>
    <col min="7" max="7" width="11.28515625" customWidth="1"/>
    <col min="8" max="8" width="13" customWidth="1"/>
    <col min="9" max="9" width="17.7109375" customWidth="1"/>
    <col min="10" max="10" width="24.85546875" customWidth="1"/>
    <col min="11" max="11" width="18.42578125" customWidth="1"/>
    <col min="12" max="12" width="5.28515625" hidden="1" customWidth="1"/>
    <col min="13" max="13" width="5.85546875" hidden="1" customWidth="1"/>
    <col min="14" max="14" width="5.5703125" hidden="1" customWidth="1"/>
    <col min="15" max="15" width="11.42578125" hidden="1" customWidth="1"/>
    <col min="16" max="16" width="5.7109375" hidden="1" customWidth="1"/>
    <col min="17" max="17" width="10" hidden="1" customWidth="1"/>
    <col min="18" max="18" width="20.85546875" hidden="1" customWidth="1"/>
    <col min="19" max="19" width="22.5703125" hidden="1" customWidth="1"/>
    <col min="20" max="20" width="8.85546875" hidden="1" customWidth="1"/>
    <col min="21" max="22" width="5.7109375" hidden="1" customWidth="1"/>
    <col min="23" max="23" width="8.85546875" hidden="1" customWidth="1"/>
    <col min="24" max="29" width="5.85546875" hidden="1" customWidth="1"/>
    <col min="30" max="30" width="8.85546875" hidden="1" customWidth="1"/>
    <col min="31" max="31" width="0" hidden="1" customWidth="1"/>
  </cols>
  <sheetData>
    <row r="1" spans="1:29" ht="19.5" thickBot="1" x14ac:dyDescent="0.35">
      <c r="A1" s="1" t="s">
        <v>35</v>
      </c>
    </row>
    <row r="2" spans="1:29" ht="45.75" thickBot="1" x14ac:dyDescent="0.3">
      <c r="A2" s="3" t="s">
        <v>0</v>
      </c>
      <c r="B2" s="4" t="s">
        <v>1</v>
      </c>
      <c r="C2" s="4" t="s">
        <v>2</v>
      </c>
      <c r="D2" s="4" t="s">
        <v>3</v>
      </c>
      <c r="E2" s="5" t="s">
        <v>4</v>
      </c>
      <c r="F2" s="5" t="s">
        <v>5</v>
      </c>
      <c r="G2" s="4" t="s">
        <v>6</v>
      </c>
      <c r="H2" s="4" t="s">
        <v>7</v>
      </c>
      <c r="I2" s="4" t="s">
        <v>8</v>
      </c>
      <c r="J2" s="6" t="s">
        <v>9</v>
      </c>
      <c r="K2" s="7" t="s">
        <v>10</v>
      </c>
      <c r="L2" s="8" t="s">
        <v>11</v>
      </c>
      <c r="M2" s="9" t="s">
        <v>12</v>
      </c>
      <c r="N2" s="10" t="s">
        <v>13</v>
      </c>
      <c r="U2" t="s">
        <v>14</v>
      </c>
      <c r="W2" t="s">
        <v>15</v>
      </c>
    </row>
    <row r="3" spans="1:29" x14ac:dyDescent="0.25">
      <c r="A3" s="11"/>
      <c r="B3" s="12"/>
      <c r="C3" s="12"/>
      <c r="D3" s="12"/>
      <c r="E3" s="13"/>
      <c r="F3" s="13"/>
      <c r="G3" s="12"/>
      <c r="H3" s="12"/>
      <c r="I3" s="12"/>
      <c r="J3" s="12"/>
      <c r="K3" s="14"/>
      <c r="M3" s="15"/>
      <c r="O3">
        <v>8</v>
      </c>
      <c r="R3" s="16" t="s">
        <v>16</v>
      </c>
      <c r="U3">
        <v>3</v>
      </c>
      <c r="W3">
        <v>10</v>
      </c>
    </row>
    <row r="4" spans="1:29" ht="18.600000000000001" customHeight="1" x14ac:dyDescent="0.25">
      <c r="A4" s="17"/>
      <c r="B4" s="18">
        <v>0.3125</v>
      </c>
      <c r="C4" s="19">
        <f>B4+R10</f>
        <v>0.31944444444444442</v>
      </c>
      <c r="D4" s="19">
        <f>C4</f>
        <v>0.31944444444444442</v>
      </c>
      <c r="E4" s="19"/>
      <c r="F4" s="19"/>
      <c r="G4" s="19"/>
      <c r="H4" s="19"/>
      <c r="I4" s="19">
        <f>D4+R16</f>
        <v>0.33333333333333331</v>
      </c>
      <c r="J4" s="19"/>
      <c r="K4" s="20">
        <f>I4</f>
        <v>0.33333333333333331</v>
      </c>
      <c r="L4" s="21">
        <f>U6+U7</f>
        <v>6.8</v>
      </c>
      <c r="M4" s="15">
        <f>U3+U4+U4</f>
        <v>13.399999999999999</v>
      </c>
      <c r="O4">
        <f>O3+6</f>
        <v>14</v>
      </c>
      <c r="R4" s="16" t="s">
        <v>17</v>
      </c>
      <c r="U4">
        <v>5.2</v>
      </c>
      <c r="W4">
        <v>15</v>
      </c>
      <c r="Z4" s="22">
        <f>D4</f>
        <v>0.31944444444444442</v>
      </c>
      <c r="AB4" s="22">
        <f t="shared" ref="AB4:AB10" si="0">Z4</f>
        <v>0.31944444444444442</v>
      </c>
      <c r="AC4" s="22">
        <f>AB17-AB4</f>
        <v>6.9444444444444198E-3</v>
      </c>
    </row>
    <row r="5" spans="1:29" x14ac:dyDescent="0.25">
      <c r="A5" s="17"/>
      <c r="B5" s="18"/>
      <c r="C5" s="19">
        <f>K4+R16</f>
        <v>0.34722222222222221</v>
      </c>
      <c r="D5" s="19">
        <f>C5+U13</f>
        <v>0.35416666666666663</v>
      </c>
      <c r="E5" s="19"/>
      <c r="F5" s="19"/>
      <c r="G5" s="19"/>
      <c r="H5" s="19"/>
      <c r="I5" s="19">
        <f>D5+R15</f>
        <v>0.36458333333333331</v>
      </c>
      <c r="J5" s="19">
        <f>I5+R13</f>
        <v>0.36805555555555552</v>
      </c>
      <c r="K5" s="20">
        <f>J5+R13</f>
        <v>0.37152777777777773</v>
      </c>
      <c r="L5" s="21">
        <f>U5+U5</f>
        <v>14</v>
      </c>
      <c r="M5" s="15">
        <f>U$8+V8</f>
        <v>12.100000000000001</v>
      </c>
      <c r="O5">
        <f>O4+6</f>
        <v>20</v>
      </c>
      <c r="R5" s="16" t="s">
        <v>18</v>
      </c>
      <c r="U5">
        <v>7</v>
      </c>
      <c r="Z5" s="22">
        <f t="shared" ref="Z5:Z17" si="1">D5</f>
        <v>0.35416666666666663</v>
      </c>
      <c r="AB5" s="22">
        <f t="shared" si="0"/>
        <v>0.35416666666666663</v>
      </c>
      <c r="AC5" s="22">
        <f>AB6-AB5</f>
        <v>3.472222222222221E-2</v>
      </c>
    </row>
    <row r="6" spans="1:29" x14ac:dyDescent="0.25">
      <c r="A6" s="17"/>
      <c r="B6" s="18"/>
      <c r="C6" s="19">
        <f>K5+R16</f>
        <v>0.38541666666666663</v>
      </c>
      <c r="D6" s="19">
        <f>C6+R17</f>
        <v>0.38888888888888884</v>
      </c>
      <c r="E6" s="19"/>
      <c r="F6" s="19"/>
      <c r="G6" s="19"/>
      <c r="H6" s="19"/>
      <c r="I6" s="19">
        <f>D6+R15</f>
        <v>0.39930555555555552</v>
      </c>
      <c r="J6" s="19"/>
      <c r="K6" s="20">
        <f>I6+R17</f>
        <v>0.40277777777777773</v>
      </c>
      <c r="L6" s="21">
        <f>U8+U8</f>
        <v>10.4</v>
      </c>
      <c r="M6" s="15">
        <f t="shared" ref="M6:M11" si="2">U$8+U$8</f>
        <v>10.4</v>
      </c>
      <c r="O6">
        <f t="shared" ref="O6:O10" si="3">O5+6</f>
        <v>26</v>
      </c>
      <c r="R6" t="s">
        <v>19</v>
      </c>
      <c r="U6">
        <v>3.4</v>
      </c>
      <c r="Z6" s="22">
        <f t="shared" si="1"/>
        <v>0.38888888888888884</v>
      </c>
      <c r="AB6" s="22">
        <f t="shared" si="0"/>
        <v>0.38888888888888884</v>
      </c>
      <c r="AC6" s="22">
        <f>AB18-AB6</f>
        <v>1.7361111111111105E-2</v>
      </c>
    </row>
    <row r="7" spans="1:29" x14ac:dyDescent="0.25">
      <c r="A7" s="17"/>
      <c r="B7" s="18"/>
      <c r="C7" s="19">
        <f>K6+R16</f>
        <v>0.41666666666666663</v>
      </c>
      <c r="D7" s="19">
        <f>C7+R17</f>
        <v>0.42013888888888884</v>
      </c>
      <c r="E7" s="19"/>
      <c r="F7" s="19"/>
      <c r="G7" s="19"/>
      <c r="H7" s="19"/>
      <c r="I7" s="19">
        <f>D7+R16</f>
        <v>0.43402777777777773</v>
      </c>
      <c r="J7" s="19"/>
      <c r="K7" s="20">
        <f>I7+R13</f>
        <v>0.43749999999999994</v>
      </c>
      <c r="L7" s="21">
        <v>10.199999999999999</v>
      </c>
      <c r="M7" s="15">
        <f t="shared" si="2"/>
        <v>10.4</v>
      </c>
      <c r="O7">
        <f t="shared" si="3"/>
        <v>32</v>
      </c>
      <c r="R7" t="s">
        <v>20</v>
      </c>
      <c r="U7">
        <v>3.4</v>
      </c>
      <c r="Z7" s="22">
        <f t="shared" si="1"/>
        <v>0.42013888888888884</v>
      </c>
      <c r="AB7" s="22">
        <f t="shared" si="0"/>
        <v>0.42013888888888884</v>
      </c>
      <c r="AC7" s="22">
        <f>AB7-AB18</f>
        <v>1.3888888888888895E-2</v>
      </c>
    </row>
    <row r="8" spans="1:29" x14ac:dyDescent="0.25">
      <c r="A8" s="17"/>
      <c r="B8" s="18"/>
      <c r="C8" s="19">
        <f>K7+R16</f>
        <v>0.45138888888888884</v>
      </c>
      <c r="D8" s="19">
        <f>C8+R17</f>
        <v>0.45486111111111105</v>
      </c>
      <c r="E8" s="19"/>
      <c r="F8" s="19"/>
      <c r="G8" s="19"/>
      <c r="H8" s="19"/>
      <c r="I8" s="19">
        <f>D8+R16</f>
        <v>0.46874999999999994</v>
      </c>
      <c r="J8" s="19"/>
      <c r="K8" s="20">
        <f>I8+R13</f>
        <v>0.47222222222222215</v>
      </c>
      <c r="L8" s="21">
        <v>10.199999999999999</v>
      </c>
      <c r="M8" s="15">
        <f t="shared" si="2"/>
        <v>10.4</v>
      </c>
      <c r="O8">
        <f t="shared" si="3"/>
        <v>38</v>
      </c>
      <c r="R8" t="s">
        <v>17</v>
      </c>
      <c r="U8">
        <v>5.2</v>
      </c>
      <c r="V8">
        <v>6.9</v>
      </c>
      <c r="Z8" s="22">
        <f t="shared" si="1"/>
        <v>0.45486111111111105</v>
      </c>
      <c r="AB8" s="22">
        <f t="shared" si="0"/>
        <v>0.45486111111111105</v>
      </c>
      <c r="AC8" s="22">
        <f>AB19-AB7</f>
        <v>2.0833333333333315E-2</v>
      </c>
    </row>
    <row r="9" spans="1:29" x14ac:dyDescent="0.25">
      <c r="A9" s="17"/>
      <c r="B9" s="18"/>
      <c r="C9" s="19">
        <f>K8+R16</f>
        <v>0.48611111111111105</v>
      </c>
      <c r="D9" s="23">
        <f>C9+R9</f>
        <v>0.49999999999999994</v>
      </c>
      <c r="E9" s="19"/>
      <c r="F9" s="19"/>
      <c r="G9" s="19"/>
      <c r="H9" s="19"/>
      <c r="I9" s="19">
        <f>D9+R16</f>
        <v>0.51388888888888884</v>
      </c>
      <c r="J9" s="19"/>
      <c r="K9" s="20">
        <f>I9+R13</f>
        <v>0.51736111111111105</v>
      </c>
      <c r="L9" s="21">
        <v>10.199999999999999</v>
      </c>
      <c r="M9" s="15">
        <f t="shared" si="2"/>
        <v>10.4</v>
      </c>
      <c r="O9">
        <f t="shared" si="3"/>
        <v>44</v>
      </c>
      <c r="R9" s="24">
        <v>1.3888888888888888E-2</v>
      </c>
      <c r="S9" t="s">
        <v>21</v>
      </c>
      <c r="Z9" s="22">
        <f t="shared" si="1"/>
        <v>0.49999999999999994</v>
      </c>
      <c r="AB9" s="22">
        <f t="shared" si="0"/>
        <v>0.49999999999999994</v>
      </c>
      <c r="AC9" s="22">
        <f>AB8-AB19</f>
        <v>1.3888888888888895E-2</v>
      </c>
    </row>
    <row r="10" spans="1:29" x14ac:dyDescent="0.25">
      <c r="A10" s="17"/>
      <c r="B10" s="18"/>
      <c r="C10" s="19">
        <f>K9+R16</f>
        <v>0.53124999999999989</v>
      </c>
      <c r="D10" s="19">
        <f>C10+R13</f>
        <v>0.5347222222222221</v>
      </c>
      <c r="E10" s="19"/>
      <c r="F10" s="19"/>
      <c r="G10" s="19"/>
      <c r="H10" s="19"/>
      <c r="I10" s="19">
        <f>D10+R16</f>
        <v>0.54861111111111094</v>
      </c>
      <c r="J10" s="19"/>
      <c r="K10" s="20">
        <f>I10+R13</f>
        <v>0.55208333333333315</v>
      </c>
      <c r="L10" s="21">
        <v>10.199999999999999</v>
      </c>
      <c r="M10" s="15">
        <f t="shared" si="2"/>
        <v>10.4</v>
      </c>
      <c r="O10">
        <f t="shared" si="3"/>
        <v>50</v>
      </c>
      <c r="R10" s="22">
        <v>6.9444444444444397E-3</v>
      </c>
      <c r="S10" t="s">
        <v>16</v>
      </c>
      <c r="Z10" s="22">
        <f t="shared" si="1"/>
        <v>0.5347222222222221</v>
      </c>
      <c r="AB10" s="22">
        <f t="shared" si="0"/>
        <v>0.5347222222222221</v>
      </c>
      <c r="AC10" s="22">
        <f>AB20-AB8</f>
        <v>2.0833333333333315E-2</v>
      </c>
    </row>
    <row r="11" spans="1:29" x14ac:dyDescent="0.25">
      <c r="A11" s="17"/>
      <c r="B11" s="19"/>
      <c r="C11" s="18">
        <f>K10+R16</f>
        <v>0.56597222222222199</v>
      </c>
      <c r="D11" s="18">
        <f>C11+R13</f>
        <v>0.5694444444444442</v>
      </c>
      <c r="E11" s="19"/>
      <c r="F11" s="19"/>
      <c r="G11" s="18"/>
      <c r="H11" s="18"/>
      <c r="I11" s="18">
        <f>D11+R16</f>
        <v>0.58333333333333304</v>
      </c>
      <c r="J11" s="18"/>
      <c r="K11" s="25">
        <f>I11</f>
        <v>0.58333333333333304</v>
      </c>
      <c r="L11" s="21">
        <f>U8+U3</f>
        <v>8.1999999999999993</v>
      </c>
      <c r="M11" s="15">
        <f t="shared" si="2"/>
        <v>10.4</v>
      </c>
      <c r="N11">
        <f>SUM(M3:M11)</f>
        <v>87.9</v>
      </c>
      <c r="O11">
        <f>O10+3</f>
        <v>53</v>
      </c>
      <c r="Q11" s="22"/>
      <c r="R11" s="22">
        <v>1.2499999999999999E-2</v>
      </c>
      <c r="S11" t="s">
        <v>22</v>
      </c>
      <c r="X11">
        <f>6+5+5+5+6+4+6+5+6+4</f>
        <v>52</v>
      </c>
      <c r="Z11" s="22">
        <f t="shared" si="1"/>
        <v>0.5694444444444442</v>
      </c>
      <c r="AB11" s="22">
        <f>Z12</f>
        <v>0.59374999999999967</v>
      </c>
      <c r="AC11" s="22">
        <f>AB9-AB20</f>
        <v>2.430555555555558E-2</v>
      </c>
    </row>
    <row r="12" spans="1:29" x14ac:dyDescent="0.25">
      <c r="A12" s="17"/>
      <c r="B12" s="26">
        <f>C12+R10</f>
        <v>0.60069444444444409</v>
      </c>
      <c r="C12" s="18">
        <f>K11+R15</f>
        <v>0.59374999999999967</v>
      </c>
      <c r="D12" s="18">
        <f>C12</f>
        <v>0.59374999999999967</v>
      </c>
      <c r="E12" s="19"/>
      <c r="F12" s="19"/>
      <c r="G12" s="18"/>
      <c r="H12" s="18"/>
      <c r="I12" s="18"/>
      <c r="J12" s="18"/>
      <c r="K12" s="25"/>
      <c r="L12" s="21">
        <f>U3+U7</f>
        <v>6.4</v>
      </c>
      <c r="M12" s="15">
        <f>U$8+U$3</f>
        <v>8.1999999999999993</v>
      </c>
      <c r="N12">
        <f>SUM(M12:M18)</f>
        <v>72.3</v>
      </c>
      <c r="O12">
        <v>100</v>
      </c>
      <c r="R12" s="22">
        <v>8.3333333333333332E-3</v>
      </c>
      <c r="S12" t="s">
        <v>19</v>
      </c>
      <c r="U12">
        <v>3</v>
      </c>
      <c r="X12">
        <f>X11/10</f>
        <v>5.2</v>
      </c>
      <c r="Z12" s="22">
        <f t="shared" si="1"/>
        <v>0.59374999999999967</v>
      </c>
      <c r="AB12" s="22">
        <f>Z13</f>
        <v>0.64236111111111072</v>
      </c>
      <c r="AC12" s="22">
        <f>AB10-AB9</f>
        <v>3.4722222222222154E-2</v>
      </c>
    </row>
    <row r="13" spans="1:29" x14ac:dyDescent="0.25">
      <c r="A13" s="17"/>
      <c r="B13" s="27">
        <f>B12+Q13</f>
        <v>0.6354166666666663</v>
      </c>
      <c r="C13" s="18">
        <f>B13+R10</f>
        <v>0.64236111111111072</v>
      </c>
      <c r="D13" s="18">
        <f>C13</f>
        <v>0.64236111111111072</v>
      </c>
      <c r="E13" s="19"/>
      <c r="F13" s="19"/>
      <c r="G13" s="18"/>
      <c r="H13" s="18"/>
      <c r="I13" s="18">
        <f>D13+R15</f>
        <v>0.65277777777777735</v>
      </c>
      <c r="J13" s="18"/>
      <c r="K13" s="25">
        <f>I13+R22</f>
        <v>0.65624999999999956</v>
      </c>
      <c r="L13" s="21">
        <f>U6+U7</f>
        <v>6.8</v>
      </c>
      <c r="M13" s="15">
        <f>U$8+U$8</f>
        <v>10.4</v>
      </c>
      <c r="P13" s="22"/>
      <c r="Q13" s="22">
        <v>3.4722222222222224E-2</v>
      </c>
      <c r="R13" s="22">
        <v>3.472222222222222E-3</v>
      </c>
      <c r="S13" t="s">
        <v>23</v>
      </c>
      <c r="U13" s="22">
        <v>6.9444444444444441E-3</v>
      </c>
      <c r="Z13" s="22">
        <f t="shared" si="1"/>
        <v>0.64236111111111072</v>
      </c>
      <c r="AB13" s="22"/>
      <c r="AC13" s="22">
        <f>AB21-AB10</f>
        <v>-1.3888888888888951E-2</v>
      </c>
    </row>
    <row r="14" spans="1:29" x14ac:dyDescent="0.25">
      <c r="A14" s="17"/>
      <c r="B14" s="18"/>
      <c r="C14" s="18">
        <f>K13+R15</f>
        <v>0.66666666666666619</v>
      </c>
      <c r="D14" s="19">
        <f>C14</f>
        <v>0.66666666666666619</v>
      </c>
      <c r="E14" s="19"/>
      <c r="F14" s="19"/>
      <c r="G14" s="18"/>
      <c r="H14" s="18"/>
      <c r="I14" s="18">
        <f>D14+R16</f>
        <v>0.68055555555555503</v>
      </c>
      <c r="J14" s="18"/>
      <c r="K14" s="25">
        <f>I14+R17</f>
        <v>0.68402777777777724</v>
      </c>
      <c r="L14" s="21">
        <f>U6+U8</f>
        <v>8.6</v>
      </c>
      <c r="M14" s="15">
        <f>U$8+U$8</f>
        <v>10.4</v>
      </c>
      <c r="Q14" s="22">
        <v>4.1666666666666664E-2</v>
      </c>
      <c r="R14" s="22">
        <v>3.125E-2</v>
      </c>
      <c r="S14" t="s">
        <v>24</v>
      </c>
      <c r="Z14" s="22">
        <f t="shared" si="1"/>
        <v>0.66666666666666619</v>
      </c>
      <c r="AB14" s="22"/>
      <c r="AC14" s="22">
        <f>AB22-AB21</f>
        <v>3.4722222222222099E-2</v>
      </c>
    </row>
    <row r="15" spans="1:29" x14ac:dyDescent="0.25">
      <c r="A15" s="17"/>
      <c r="B15" s="18"/>
      <c r="C15" s="18">
        <f>K14+R16</f>
        <v>0.69791666666666607</v>
      </c>
      <c r="D15" s="23">
        <f>C15+R15</f>
        <v>0.7083333333333327</v>
      </c>
      <c r="E15" s="19"/>
      <c r="F15" s="19"/>
      <c r="G15" s="18"/>
      <c r="H15" s="18"/>
      <c r="I15" s="18">
        <f>D15+R15</f>
        <v>0.71874999999999933</v>
      </c>
      <c r="J15" s="18">
        <f>I15+R13</f>
        <v>0.72222222222222154</v>
      </c>
      <c r="K15" s="25">
        <f>J15+U13</f>
        <v>0.72916666666666596</v>
      </c>
      <c r="L15" s="21"/>
      <c r="M15" s="15">
        <f>U$8+V8</f>
        <v>12.100000000000001</v>
      </c>
      <c r="Q15" s="22"/>
      <c r="R15" s="22">
        <v>1.0416666666666666E-2</v>
      </c>
      <c r="Z15" s="22">
        <f t="shared" si="1"/>
        <v>0.7083333333333327</v>
      </c>
      <c r="AB15" s="22">
        <f>Z16</f>
        <v>0.74652777777777701</v>
      </c>
      <c r="AC15" s="22">
        <f>AB11-AB22</f>
        <v>3.819444444444442E-2</v>
      </c>
    </row>
    <row r="16" spans="1:29" x14ac:dyDescent="0.25">
      <c r="A16" s="17"/>
      <c r="B16" s="18"/>
      <c r="C16" s="18">
        <f>K15+R16</f>
        <v>0.7430555555555548</v>
      </c>
      <c r="D16" s="18">
        <f>C16+R13</f>
        <v>0.74652777777777701</v>
      </c>
      <c r="E16" s="19"/>
      <c r="F16" s="19"/>
      <c r="G16" s="18"/>
      <c r="H16" s="18"/>
      <c r="I16" s="18">
        <f>D16+R16</f>
        <v>0.76041666666666585</v>
      </c>
      <c r="J16" s="18"/>
      <c r="K16" s="25">
        <f>I16+R13</f>
        <v>0.76388888888888806</v>
      </c>
      <c r="L16" s="21">
        <f>U8+U8</f>
        <v>10.4</v>
      </c>
      <c r="M16" s="15">
        <f>U$8+U$8</f>
        <v>10.4</v>
      </c>
      <c r="P16" s="22">
        <v>3.125E-2</v>
      </c>
      <c r="Q16" s="22">
        <v>3.4722222222222224E-2</v>
      </c>
      <c r="R16" s="28">
        <v>1.3888888888888888E-2</v>
      </c>
      <c r="S16" t="s">
        <v>17</v>
      </c>
      <c r="U16" s="22">
        <v>1.7361111111111112E-2</v>
      </c>
      <c r="Z16" s="22">
        <f t="shared" si="1"/>
        <v>0.74652777777777701</v>
      </c>
      <c r="AB16" s="22">
        <f>Z17</f>
        <v>0.78124999999999911</v>
      </c>
      <c r="AC16" s="22">
        <f>AB23-AB11</f>
        <v>2.4305555555555358E-2</v>
      </c>
    </row>
    <row r="17" spans="1:29" x14ac:dyDescent="0.25">
      <c r="A17" s="17"/>
      <c r="B17" s="18"/>
      <c r="C17" s="18">
        <f>K16+R16</f>
        <v>0.7777777777777769</v>
      </c>
      <c r="D17" s="18">
        <f>C17+R13</f>
        <v>0.78124999999999911</v>
      </c>
      <c r="E17" s="19"/>
      <c r="F17" s="19"/>
      <c r="G17" s="18"/>
      <c r="H17" s="18"/>
      <c r="I17" s="18">
        <f>D17+R16</f>
        <v>0.79513888888888795</v>
      </c>
      <c r="J17" s="18"/>
      <c r="K17" s="25">
        <f>I17+R13</f>
        <v>0.79861111111111016</v>
      </c>
      <c r="L17" s="21">
        <f>U8+U8</f>
        <v>10.4</v>
      </c>
      <c r="M17" s="15">
        <f>U$8+U$8</f>
        <v>10.4</v>
      </c>
      <c r="O17" s="22"/>
      <c r="P17">
        <f>(4.6+5.8)/2</f>
        <v>5.1999999999999993</v>
      </c>
      <c r="R17" s="22">
        <v>3.472222222222222E-3</v>
      </c>
      <c r="Z17" s="22">
        <f t="shared" si="1"/>
        <v>0.78124999999999911</v>
      </c>
      <c r="AB17" s="22">
        <f>Z27</f>
        <v>0.32638888888888884</v>
      </c>
      <c r="AC17" s="22">
        <f>AB12-AB23</f>
        <v>2.4305555555555691E-2</v>
      </c>
    </row>
    <row r="18" spans="1:29" x14ac:dyDescent="0.25">
      <c r="A18" s="17"/>
      <c r="B18" s="18"/>
      <c r="C18" s="18">
        <f>K17+R15</f>
        <v>0.80902777777777679</v>
      </c>
      <c r="D18" s="18">
        <f>C18+R17</f>
        <v>0.812499999999999</v>
      </c>
      <c r="E18" s="19"/>
      <c r="F18" s="19"/>
      <c r="G18" s="18"/>
      <c r="H18" s="18"/>
      <c r="I18" s="18">
        <f>D18+R15</f>
        <v>0.82291666666666563</v>
      </c>
      <c r="J18" s="18"/>
      <c r="K18" s="25">
        <f>I18+R13</f>
        <v>0.82638888888888784</v>
      </c>
      <c r="L18" s="21">
        <f>U8+U3</f>
        <v>8.1999999999999993</v>
      </c>
      <c r="M18" s="15">
        <f>U$8+U$8</f>
        <v>10.4</v>
      </c>
      <c r="R18" s="15">
        <f>L20</f>
        <v>0</v>
      </c>
      <c r="S18" s="15" t="s">
        <v>25</v>
      </c>
      <c r="T18" s="15"/>
      <c r="Z18" s="22"/>
      <c r="AB18" s="22">
        <f t="shared" ref="AB18:AB22" si="4">Z30</f>
        <v>0.40624999999999994</v>
      </c>
      <c r="AC18" s="22">
        <f>AB24-AB12</f>
        <v>2.0833333333333148E-2</v>
      </c>
    </row>
    <row r="19" spans="1:29" ht="15.75" thickBot="1" x14ac:dyDescent="0.3">
      <c r="A19" s="29">
        <f>C19+R10</f>
        <v>0.84374999999999889</v>
      </c>
      <c r="B19" s="30"/>
      <c r="C19" s="30">
        <f>K18+R15</f>
        <v>0.83680555555555447</v>
      </c>
      <c r="D19" s="30"/>
      <c r="E19" s="31"/>
      <c r="F19" s="31"/>
      <c r="G19" s="30"/>
      <c r="H19" s="30"/>
      <c r="I19" s="30"/>
      <c r="J19" s="30"/>
      <c r="K19" s="32"/>
      <c r="L19" s="21"/>
      <c r="M19" s="15">
        <f>U$8+U$3</f>
        <v>8.1999999999999993</v>
      </c>
      <c r="R19" s="15">
        <f>U3*4</f>
        <v>12</v>
      </c>
      <c r="S19" s="15" t="s">
        <v>26</v>
      </c>
      <c r="T19" s="15"/>
      <c r="AB19" s="22">
        <f t="shared" si="4"/>
        <v>0.44097222222222215</v>
      </c>
      <c r="AC19" s="22">
        <f>AB15-AB24</f>
        <v>8.3333333333333148E-2</v>
      </c>
    </row>
    <row r="20" spans="1:29" ht="15.75" thickBot="1" x14ac:dyDescent="0.3">
      <c r="A20" s="33"/>
      <c r="B20" s="34"/>
      <c r="C20" s="34"/>
      <c r="D20" s="34"/>
      <c r="E20" s="35"/>
      <c r="F20" s="35"/>
      <c r="G20" s="34"/>
      <c r="H20" s="34"/>
      <c r="I20" s="34"/>
      <c r="J20" s="34"/>
      <c r="K20" s="34"/>
      <c r="L20" s="36"/>
      <c r="M20" s="15"/>
      <c r="Q20" t="s">
        <v>27</v>
      </c>
      <c r="R20" s="28">
        <v>6.9444444444444441E-3</v>
      </c>
      <c r="AB20" s="22">
        <f t="shared" si="4"/>
        <v>0.47569444444444436</v>
      </c>
      <c r="AC20" s="22">
        <f>AB25-AB15</f>
        <v>-5.4861111111111027E-2</v>
      </c>
    </row>
    <row r="21" spans="1:29" x14ac:dyDescent="0.25">
      <c r="S21" t="s">
        <v>28</v>
      </c>
      <c r="T21" s="22">
        <v>3.472222222222222E-3</v>
      </c>
      <c r="U21">
        <v>3.9</v>
      </c>
      <c r="V21">
        <v>2.8</v>
      </c>
      <c r="AB21" s="22">
        <f t="shared" si="4"/>
        <v>0.52083333333333315</v>
      </c>
      <c r="AC21" s="22">
        <f>AB26-AB25</f>
        <v>3.4027777777777657E-2</v>
      </c>
    </row>
    <row r="22" spans="1:29" hidden="1" x14ac:dyDescent="0.25">
      <c r="D22" s="37"/>
      <c r="E22" s="38"/>
      <c r="F22" s="38"/>
      <c r="R22" s="22">
        <v>3.472222222222222E-3</v>
      </c>
      <c r="S22" s="13" t="s">
        <v>29</v>
      </c>
      <c r="AB22" s="22">
        <f t="shared" si="4"/>
        <v>0.55555555555555525</v>
      </c>
      <c r="AC22" s="22">
        <f>AB16-AB26</f>
        <v>5.5555555555555469E-2</v>
      </c>
    </row>
    <row r="23" spans="1:29" hidden="1" x14ac:dyDescent="0.25">
      <c r="D23" s="22"/>
      <c r="E23" s="39"/>
      <c r="F23" s="39"/>
      <c r="AB23" s="22">
        <f>Z36</f>
        <v>0.61805555555555503</v>
      </c>
      <c r="AC23" s="22">
        <f>AB27-AB16</f>
        <v>-2.083333333333337E-2</v>
      </c>
    </row>
    <row r="24" spans="1:29" x14ac:dyDescent="0.25">
      <c r="S24" t="s">
        <v>30</v>
      </c>
      <c r="T24" s="22">
        <v>4.8611111111111112E-3</v>
      </c>
      <c r="U24">
        <v>2.7</v>
      </c>
      <c r="AB24" s="22">
        <f>Z38</f>
        <v>0.66319444444444386</v>
      </c>
      <c r="AC24" s="22"/>
    </row>
    <row r="25" spans="1:29" ht="19.5" thickBot="1" x14ac:dyDescent="0.35">
      <c r="A25" s="1" t="s">
        <v>36</v>
      </c>
      <c r="S25" t="s">
        <v>31</v>
      </c>
      <c r="U25">
        <v>3.4</v>
      </c>
      <c r="AB25" s="22">
        <f>Z39</f>
        <v>0.69166666666666599</v>
      </c>
      <c r="AC25" s="22"/>
    </row>
    <row r="26" spans="1:29" ht="54" customHeight="1" thickBot="1" x14ac:dyDescent="0.3">
      <c r="A26" s="3" t="s">
        <v>0</v>
      </c>
      <c r="B26" s="4" t="s">
        <v>1</v>
      </c>
      <c r="C26" s="4" t="s">
        <v>32</v>
      </c>
      <c r="D26" s="4" t="s">
        <v>3</v>
      </c>
      <c r="E26" s="5" t="s">
        <v>4</v>
      </c>
      <c r="F26" s="5" t="s">
        <v>5</v>
      </c>
      <c r="G26" s="4" t="s">
        <v>6</v>
      </c>
      <c r="H26" s="4" t="s">
        <v>7</v>
      </c>
      <c r="I26" s="4" t="s">
        <v>8</v>
      </c>
      <c r="J26" s="6" t="s">
        <v>9</v>
      </c>
      <c r="K26" s="7" t="s">
        <v>10</v>
      </c>
      <c r="L26" s="8" t="s">
        <v>11</v>
      </c>
      <c r="M26" s="9" t="s">
        <v>12</v>
      </c>
      <c r="N26" s="10" t="s">
        <v>13</v>
      </c>
      <c r="U26" t="s">
        <v>14</v>
      </c>
      <c r="W26" t="s">
        <v>15</v>
      </c>
      <c r="AB26" s="22">
        <f>Z40</f>
        <v>0.72569444444444364</v>
      </c>
    </row>
    <row r="27" spans="1:29" x14ac:dyDescent="0.25">
      <c r="A27" s="40"/>
      <c r="B27" s="41">
        <v>0.31944444444444442</v>
      </c>
      <c r="C27" s="41">
        <f>B27+R36</f>
        <v>0.32638888888888884</v>
      </c>
      <c r="D27" s="41">
        <f>B27+R36</f>
        <v>0.32638888888888884</v>
      </c>
      <c r="E27" s="41"/>
      <c r="F27" s="41"/>
      <c r="G27" s="41"/>
      <c r="H27" s="41"/>
      <c r="I27" s="41">
        <f>D27+Q41</f>
        <v>0.33680555555555552</v>
      </c>
      <c r="J27" s="42"/>
      <c r="K27" s="43">
        <f>I27</f>
        <v>0.33680555555555552</v>
      </c>
      <c r="L27" s="21">
        <f>U27+U32</f>
        <v>6.4</v>
      </c>
      <c r="M27" s="15">
        <f>U3+U8</f>
        <v>8.1999999999999993</v>
      </c>
      <c r="N27">
        <v>8</v>
      </c>
      <c r="R27" s="16" t="s">
        <v>16</v>
      </c>
      <c r="U27">
        <v>3</v>
      </c>
      <c r="W27">
        <v>10</v>
      </c>
      <c r="Z27" s="22">
        <f>D27</f>
        <v>0.32638888888888884</v>
      </c>
      <c r="AB27" s="22">
        <f>Z41</f>
        <v>0.76041666666666574</v>
      </c>
    </row>
    <row r="28" spans="1:29" x14ac:dyDescent="0.25">
      <c r="A28" s="44"/>
      <c r="B28" s="19"/>
      <c r="C28" s="19">
        <f>K27+R41</f>
        <v>0.35069444444444442</v>
      </c>
      <c r="D28" s="19">
        <f>C28+R45</f>
        <v>0.35416666666666663</v>
      </c>
      <c r="E28" s="19">
        <f>D28+R47</f>
        <v>0.35763888888888884</v>
      </c>
      <c r="F28" s="19">
        <f>E28+R46</f>
        <v>0.35902777777777772</v>
      </c>
      <c r="G28" s="19">
        <f>F28+R48</f>
        <v>0.36736111111111108</v>
      </c>
      <c r="H28" s="19">
        <f>G28</f>
        <v>0.36736111111111108</v>
      </c>
      <c r="I28" s="19"/>
      <c r="J28" s="18"/>
      <c r="K28" s="20"/>
      <c r="L28" s="21"/>
      <c r="M28" s="15">
        <f>U8+U21+U24+U25</f>
        <v>15.200000000000001</v>
      </c>
      <c r="N28">
        <f>N27+6</f>
        <v>14</v>
      </c>
      <c r="R28" s="16"/>
      <c r="Z28" s="22"/>
    </row>
    <row r="29" spans="1:29" x14ac:dyDescent="0.25">
      <c r="A29" s="44"/>
      <c r="B29" s="19"/>
      <c r="C29" s="19">
        <f>H28+V37</f>
        <v>0.37499999999999994</v>
      </c>
      <c r="D29" s="19">
        <f>C29</f>
        <v>0.37499999999999994</v>
      </c>
      <c r="E29" s="19"/>
      <c r="F29" s="19"/>
      <c r="G29" s="19"/>
      <c r="H29" s="19"/>
      <c r="I29" s="19">
        <f>D29+R41</f>
        <v>0.38888888888888884</v>
      </c>
      <c r="J29" s="18"/>
      <c r="K29" s="20">
        <f>I29+R42</f>
        <v>0.39236111111111105</v>
      </c>
      <c r="L29" s="21">
        <f>U31+U33</f>
        <v>8.6</v>
      </c>
      <c r="M29" s="15">
        <f>U8</f>
        <v>5.2</v>
      </c>
      <c r="N29">
        <f>N28+6</f>
        <v>20</v>
      </c>
      <c r="R29" s="16" t="s">
        <v>17</v>
      </c>
      <c r="U29">
        <v>5.2</v>
      </c>
      <c r="W29">
        <v>15</v>
      </c>
      <c r="Z29" s="22"/>
    </row>
    <row r="30" spans="1:29" x14ac:dyDescent="0.25">
      <c r="A30" s="44"/>
      <c r="B30" s="19"/>
      <c r="C30" s="19">
        <f>K29+R41</f>
        <v>0.40624999999999994</v>
      </c>
      <c r="D30" s="19">
        <f>C30</f>
        <v>0.40624999999999994</v>
      </c>
      <c r="E30" s="19"/>
      <c r="F30" s="19"/>
      <c r="G30" s="19"/>
      <c r="H30" s="19"/>
      <c r="I30" s="19">
        <f>D30+R41</f>
        <v>0.42013888888888884</v>
      </c>
      <c r="J30" s="19"/>
      <c r="K30" s="20">
        <f>I30+R42</f>
        <v>0.42361111111111105</v>
      </c>
      <c r="L30" s="21">
        <f>U33+U33</f>
        <v>10.4</v>
      </c>
      <c r="M30" s="15">
        <f>$U$29+$U$29</f>
        <v>10.4</v>
      </c>
      <c r="N30">
        <f>N29+6</f>
        <v>26</v>
      </c>
      <c r="R30" s="16"/>
      <c r="Z30" s="22">
        <f t="shared" ref="Z30:Z36" si="5">D30</f>
        <v>0.40624999999999994</v>
      </c>
    </row>
    <row r="31" spans="1:29" x14ac:dyDescent="0.25">
      <c r="A31" s="44"/>
      <c r="B31" s="19"/>
      <c r="C31" s="19">
        <f>K30+R41</f>
        <v>0.43749999999999994</v>
      </c>
      <c r="D31" s="19">
        <f>C31+R17</f>
        <v>0.44097222222222215</v>
      </c>
      <c r="E31" s="19"/>
      <c r="F31" s="19"/>
      <c r="G31" s="19"/>
      <c r="H31" s="19"/>
      <c r="I31" s="19">
        <f>D31+R41</f>
        <v>0.45486111111111105</v>
      </c>
      <c r="J31" s="19"/>
      <c r="K31" s="20">
        <f>D31+R41+R39</f>
        <v>0.45833333333333326</v>
      </c>
      <c r="L31" s="21">
        <f>U$9+U$9</f>
        <v>0</v>
      </c>
      <c r="M31" s="15">
        <f t="shared" ref="M31:M35" si="6">$U$29+$U$29</f>
        <v>10.4</v>
      </c>
      <c r="N31">
        <f>N30+6</f>
        <v>32</v>
      </c>
      <c r="R31" t="s">
        <v>19</v>
      </c>
      <c r="U31">
        <v>3.4</v>
      </c>
      <c r="Z31" s="22">
        <f t="shared" si="5"/>
        <v>0.44097222222222215</v>
      </c>
    </row>
    <row r="32" spans="1:29" x14ac:dyDescent="0.25">
      <c r="A32" s="44"/>
      <c r="B32" s="19"/>
      <c r="C32" s="19">
        <f>K31+R$16</f>
        <v>0.47222222222222215</v>
      </c>
      <c r="D32" s="19">
        <f>C32+R42</f>
        <v>0.47569444444444436</v>
      </c>
      <c r="E32" s="19"/>
      <c r="F32" s="19"/>
      <c r="G32" s="19"/>
      <c r="H32" s="19"/>
      <c r="I32" s="19">
        <f>D32+R41</f>
        <v>0.48958333333333326</v>
      </c>
      <c r="J32" s="19"/>
      <c r="K32" s="20">
        <f>D32+R39+R41</f>
        <v>0.49305555555555547</v>
      </c>
      <c r="L32" s="21">
        <f t="shared" ref="L32:L34" si="7">U$9+U$9</f>
        <v>0</v>
      </c>
      <c r="M32" s="15">
        <f t="shared" si="6"/>
        <v>10.4</v>
      </c>
      <c r="N32">
        <f t="shared" ref="N32" si="8">N31+6</f>
        <v>38</v>
      </c>
      <c r="R32" t="s">
        <v>20</v>
      </c>
      <c r="U32">
        <v>3.4</v>
      </c>
      <c r="Z32" s="22">
        <f t="shared" si="5"/>
        <v>0.47569444444444436</v>
      </c>
    </row>
    <row r="33" spans="1:26" x14ac:dyDescent="0.25">
      <c r="A33" s="44"/>
      <c r="B33" s="19"/>
      <c r="C33" s="19">
        <f t="shared" ref="C33" si="9">K32+R$16</f>
        <v>0.50694444444444431</v>
      </c>
      <c r="D33" s="45">
        <f>C33+U42</f>
        <v>0.52083333333333315</v>
      </c>
      <c r="E33" s="19"/>
      <c r="F33" s="19"/>
      <c r="G33" s="19"/>
      <c r="H33" s="19"/>
      <c r="I33" s="19">
        <f>D33+R41</f>
        <v>0.53472222222222199</v>
      </c>
      <c r="J33" s="19"/>
      <c r="K33" s="20">
        <f>D33+R39+R41</f>
        <v>0.5381944444444442</v>
      </c>
      <c r="L33" s="21">
        <f t="shared" si="7"/>
        <v>0</v>
      </c>
      <c r="M33" s="15">
        <f t="shared" si="6"/>
        <v>10.4</v>
      </c>
      <c r="N33">
        <f>N32+6</f>
        <v>44</v>
      </c>
      <c r="R33" t="s">
        <v>17</v>
      </c>
      <c r="U33">
        <v>5.2</v>
      </c>
      <c r="V33">
        <v>6.9</v>
      </c>
      <c r="W33">
        <f>U33+1.7</f>
        <v>6.9</v>
      </c>
      <c r="Z33" s="22">
        <f t="shared" si="5"/>
        <v>0.52083333333333315</v>
      </c>
    </row>
    <row r="34" spans="1:26" x14ac:dyDescent="0.25">
      <c r="A34" s="44"/>
      <c r="B34" s="19"/>
      <c r="C34" s="19">
        <f>K33+R$16</f>
        <v>0.55208333333333304</v>
      </c>
      <c r="D34" s="19">
        <f>C34+R22</f>
        <v>0.55555555555555525</v>
      </c>
      <c r="E34" s="19"/>
      <c r="F34" s="19"/>
      <c r="G34" s="19"/>
      <c r="H34" s="19"/>
      <c r="I34" s="19">
        <f>D34+R41</f>
        <v>0.56944444444444409</v>
      </c>
      <c r="J34" s="19"/>
      <c r="K34" s="20">
        <f>D34+R41+R39</f>
        <v>0.5729166666666663</v>
      </c>
      <c r="L34" s="21">
        <f t="shared" si="7"/>
        <v>0</v>
      </c>
      <c r="M34" s="15">
        <f t="shared" si="6"/>
        <v>10.4</v>
      </c>
      <c r="N34">
        <f>N33+6</f>
        <v>50</v>
      </c>
      <c r="Z34" s="22">
        <f t="shared" si="5"/>
        <v>0.55555555555555525</v>
      </c>
    </row>
    <row r="35" spans="1:26" x14ac:dyDescent="0.25">
      <c r="A35" s="44"/>
      <c r="B35" s="19"/>
      <c r="C35" s="19">
        <f>K34+R$16</f>
        <v>0.58680555555555514</v>
      </c>
      <c r="D35" s="19">
        <f>C35+R45</f>
        <v>0.59027777777777735</v>
      </c>
      <c r="E35" s="19"/>
      <c r="F35" s="19"/>
      <c r="G35" s="19"/>
      <c r="H35" s="19"/>
      <c r="I35" s="19">
        <f>D35+R41</f>
        <v>0.60416666666666619</v>
      </c>
      <c r="J35" s="19"/>
      <c r="K35" s="20">
        <f>I35+R39</f>
        <v>0.6076388888888884</v>
      </c>
      <c r="L35" s="21"/>
      <c r="M35" s="15">
        <f t="shared" si="6"/>
        <v>10.4</v>
      </c>
      <c r="Z35" s="22"/>
    </row>
    <row r="36" spans="1:26" x14ac:dyDescent="0.25">
      <c r="A36" s="44"/>
      <c r="B36" s="26">
        <f>D36+R36</f>
        <v>0.62499999999999944</v>
      </c>
      <c r="C36" s="19">
        <f>K35+Q41</f>
        <v>0.61805555555555503</v>
      </c>
      <c r="D36" s="19">
        <f>C36</f>
        <v>0.61805555555555503</v>
      </c>
      <c r="E36" s="19"/>
      <c r="F36" s="19"/>
      <c r="G36" s="19"/>
      <c r="H36" s="19"/>
      <c r="I36" s="19"/>
      <c r="J36" s="19"/>
      <c r="K36" s="20"/>
      <c r="L36" s="21"/>
      <c r="M36" s="15">
        <f>U8+U3</f>
        <v>8.1999999999999993</v>
      </c>
      <c r="N36">
        <f>N34+6</f>
        <v>56</v>
      </c>
      <c r="R36" s="22">
        <v>6.9444444444444397E-3</v>
      </c>
      <c r="S36" t="s">
        <v>16</v>
      </c>
      <c r="Z36" s="22">
        <f t="shared" si="5"/>
        <v>0.61805555555555503</v>
      </c>
    </row>
    <row r="37" spans="1:26" x14ac:dyDescent="0.25">
      <c r="A37" s="17"/>
      <c r="B37" s="27">
        <f>B36+R40</f>
        <v>0.65624999999999944</v>
      </c>
      <c r="C37" s="19">
        <f>B37+U39</f>
        <v>0.66319444444444386</v>
      </c>
      <c r="D37" s="19">
        <f>C37</f>
        <v>0.66319444444444386</v>
      </c>
      <c r="E37" s="19">
        <f>H37+R48</f>
        <v>0.68333333333333268</v>
      </c>
      <c r="F37" s="19">
        <f>E37+R46</f>
        <v>0.68472222222222157</v>
      </c>
      <c r="G37" s="19">
        <f>D37+R37</f>
        <v>0.67152777777777717</v>
      </c>
      <c r="H37" s="19">
        <f>G37+R42</f>
        <v>0.67499999999999938</v>
      </c>
      <c r="I37" s="19"/>
      <c r="J37" s="19"/>
      <c r="K37" s="20"/>
      <c r="L37" s="21">
        <f>U27+U33</f>
        <v>8.1999999999999993</v>
      </c>
      <c r="M37" s="46">
        <f>U3+U25+V21+U24</f>
        <v>11.899999999999999</v>
      </c>
      <c r="N37">
        <v>100</v>
      </c>
      <c r="O37">
        <f>SUM(M27:M36)</f>
        <v>99.200000000000017</v>
      </c>
      <c r="Q37" s="22">
        <v>2.0833333333333333E-3</v>
      </c>
      <c r="R37" s="22">
        <v>8.3333333333333332E-3</v>
      </c>
      <c r="S37" t="s">
        <v>22</v>
      </c>
      <c r="U37" s="22">
        <v>9.7222222222222224E-3</v>
      </c>
      <c r="V37" s="22">
        <v>7.6388888888888886E-3</v>
      </c>
      <c r="X37">
        <f>6+5+5+5+6+4+6+5+6+4</f>
        <v>52</v>
      </c>
      <c r="Z37" s="22" t="e">
        <f>#REF!</f>
        <v>#REF!</v>
      </c>
    </row>
    <row r="38" spans="1:26" x14ac:dyDescent="0.25">
      <c r="A38" s="17"/>
      <c r="B38" s="18"/>
      <c r="C38" s="19">
        <f>F37+R47</f>
        <v>0.68819444444444378</v>
      </c>
      <c r="D38" s="19">
        <f>C38+R42</f>
        <v>0.69166666666666599</v>
      </c>
      <c r="E38" s="19">
        <f>H38+R48</f>
        <v>0.71874999999999922</v>
      </c>
      <c r="F38" s="19">
        <f>E38+R46</f>
        <v>0.72013888888888811</v>
      </c>
      <c r="G38" s="19">
        <f>D38+R37</f>
        <v>0.69999999999999929</v>
      </c>
      <c r="H38" s="23">
        <f>G38+V42</f>
        <v>0.71041666666666592</v>
      </c>
      <c r="I38" s="19"/>
      <c r="J38" s="19"/>
      <c r="K38" s="20"/>
      <c r="L38" s="21">
        <f>U33+U32</f>
        <v>8.6</v>
      </c>
      <c r="M38" s="15">
        <f>U25+U24+V21</f>
        <v>8.8999999999999986</v>
      </c>
      <c r="O38">
        <f>SUM(M37:M41)</f>
        <v>51.999999999999993</v>
      </c>
      <c r="Q38" s="22">
        <v>1.3888888888888889E-3</v>
      </c>
      <c r="R38" s="22">
        <v>6.9444444444444441E-3</v>
      </c>
      <c r="S38" t="s">
        <v>19</v>
      </c>
      <c r="U38" s="22">
        <v>1.0416666666666666E-2</v>
      </c>
      <c r="X38">
        <f>X37/10</f>
        <v>5.2</v>
      </c>
      <c r="Z38" s="22">
        <f>D37</f>
        <v>0.66319444444444386</v>
      </c>
    </row>
    <row r="39" spans="1:26" x14ac:dyDescent="0.25">
      <c r="A39" s="17"/>
      <c r="B39" s="18"/>
      <c r="C39" s="19">
        <f>F38+R47</f>
        <v>0.72361111111111032</v>
      </c>
      <c r="D39" s="19">
        <f>C39+Q37</f>
        <v>0.72569444444444364</v>
      </c>
      <c r="E39" s="19"/>
      <c r="F39" s="19"/>
      <c r="G39" s="19"/>
      <c r="H39" s="19"/>
      <c r="I39" s="19">
        <f>D39+R41</f>
        <v>0.73958333333333248</v>
      </c>
      <c r="J39" s="42"/>
      <c r="K39" s="20">
        <f>I39+R39</f>
        <v>0.74305555555555469</v>
      </c>
      <c r="L39" s="21">
        <f>U31+U33</f>
        <v>8.6</v>
      </c>
      <c r="M39" s="15">
        <f t="shared" ref="M39:M42" si="10">$U$29+$U$29</f>
        <v>10.4</v>
      </c>
      <c r="Q39" s="22">
        <v>2.7777777777777779E-3</v>
      </c>
      <c r="R39" s="22">
        <v>3.472222222222222E-3</v>
      </c>
      <c r="S39" t="s">
        <v>23</v>
      </c>
      <c r="U39" s="22">
        <v>6.9444444444444441E-3</v>
      </c>
      <c r="Z39" s="22">
        <f>D38</f>
        <v>0.69166666666666599</v>
      </c>
    </row>
    <row r="40" spans="1:26" x14ac:dyDescent="0.25">
      <c r="A40" s="17"/>
      <c r="B40" s="42"/>
      <c r="C40" s="19">
        <f>K39+R41</f>
        <v>0.75694444444444353</v>
      </c>
      <c r="D40" s="19">
        <f>C40+R39</f>
        <v>0.76041666666666574</v>
      </c>
      <c r="E40" s="19"/>
      <c r="F40" s="19"/>
      <c r="G40" s="19"/>
      <c r="H40" s="19"/>
      <c r="I40" s="19">
        <f>D40+R41</f>
        <v>0.77430555555555458</v>
      </c>
      <c r="J40" s="42"/>
      <c r="K40" s="20">
        <f>I40+R45</f>
        <v>0.77777777777777679</v>
      </c>
      <c r="L40" s="21">
        <f>U$9+U$9</f>
        <v>0</v>
      </c>
      <c r="M40" s="15">
        <f t="shared" si="10"/>
        <v>10.4</v>
      </c>
      <c r="Q40" s="22">
        <v>4.1666666666666664E-2</v>
      </c>
      <c r="R40" s="22">
        <v>3.125E-2</v>
      </c>
      <c r="S40" t="s">
        <v>24</v>
      </c>
      <c r="U40" s="22">
        <v>3.4722222222222224E-2</v>
      </c>
      <c r="Z40" s="22">
        <f>D39</f>
        <v>0.72569444444444364</v>
      </c>
    </row>
    <row r="41" spans="1:26" x14ac:dyDescent="0.25">
      <c r="A41" s="17"/>
      <c r="B41" s="18"/>
      <c r="C41" s="19">
        <f>K40+R41</f>
        <v>0.79166666666666563</v>
      </c>
      <c r="D41" s="19">
        <f>C41+R39</f>
        <v>0.79513888888888784</v>
      </c>
      <c r="E41" s="19"/>
      <c r="F41" s="19"/>
      <c r="G41" s="19"/>
      <c r="H41" s="19"/>
      <c r="I41" s="19">
        <f>D41+R41</f>
        <v>0.80902777777777668</v>
      </c>
      <c r="J41" s="19"/>
      <c r="K41" s="20">
        <f>I41+R39</f>
        <v>0.81249999999999889</v>
      </c>
      <c r="L41" s="21">
        <f>U$9+U$9</f>
        <v>0</v>
      </c>
      <c r="M41" s="15">
        <f t="shared" si="10"/>
        <v>10.4</v>
      </c>
      <c r="Q41" s="24">
        <v>1.0416666666666666E-2</v>
      </c>
      <c r="R41" s="28">
        <v>1.3888888888888888E-2</v>
      </c>
      <c r="S41" t="s">
        <v>17</v>
      </c>
      <c r="Z41" s="22">
        <f>D40</f>
        <v>0.76041666666666574</v>
      </c>
    </row>
    <row r="42" spans="1:26" x14ac:dyDescent="0.25">
      <c r="A42" s="17"/>
      <c r="B42" s="18"/>
      <c r="C42" s="19">
        <f>K41+Q41</f>
        <v>0.82291666666666552</v>
      </c>
      <c r="D42" s="19">
        <f>C42+R39</f>
        <v>0.82638888888888773</v>
      </c>
      <c r="E42" s="19"/>
      <c r="F42" s="19"/>
      <c r="G42" s="19"/>
      <c r="H42" s="19"/>
      <c r="I42" s="19">
        <f>D42+Q41</f>
        <v>0.83680555555555436</v>
      </c>
      <c r="J42" s="19"/>
      <c r="K42" s="20">
        <f>I42+R39</f>
        <v>0.84027777777777657</v>
      </c>
      <c r="L42" s="21">
        <f>U33+U27</f>
        <v>8.1999999999999993</v>
      </c>
      <c r="M42" s="15">
        <f t="shared" si="10"/>
        <v>10.4</v>
      </c>
      <c r="O42" s="22"/>
      <c r="P42">
        <f>(4.6+5.8)/2</f>
        <v>5.1999999999999993</v>
      </c>
      <c r="Q42" s="24">
        <v>1.0416666666666666E-2</v>
      </c>
      <c r="R42" s="22">
        <v>3.472222222222222E-3</v>
      </c>
      <c r="S42" t="s">
        <v>21</v>
      </c>
      <c r="U42" s="22">
        <v>1.3888888888888888E-2</v>
      </c>
      <c r="V42" s="22">
        <v>1.0416666666666666E-2</v>
      </c>
    </row>
    <row r="43" spans="1:26" ht="15.75" thickBot="1" x14ac:dyDescent="0.3">
      <c r="A43" s="29">
        <f>C43+R36</f>
        <v>0.85763888888888762</v>
      </c>
      <c r="B43" s="30"/>
      <c r="C43" s="31">
        <f>K42+Q41</f>
        <v>0.8506944444444432</v>
      </c>
      <c r="D43" s="31"/>
      <c r="E43" s="31"/>
      <c r="F43" s="31"/>
      <c r="G43" s="31"/>
      <c r="H43" s="31"/>
      <c r="I43" s="31"/>
      <c r="J43" s="31"/>
      <c r="K43" s="47"/>
      <c r="L43" s="21"/>
      <c r="M43" s="46">
        <f>U27</f>
        <v>3</v>
      </c>
      <c r="Q43" s="48"/>
      <c r="R43" s="15">
        <f>L44</f>
        <v>0</v>
      </c>
      <c r="S43" s="15" t="s">
        <v>25</v>
      </c>
      <c r="T43" s="15"/>
    </row>
    <row r="44" spans="1:26" ht="15.75" thickBot="1" x14ac:dyDescent="0.3">
      <c r="A44" s="33"/>
      <c r="B44" s="34"/>
      <c r="C44" s="35"/>
      <c r="D44" s="35"/>
      <c r="E44" s="35"/>
      <c r="F44" s="35"/>
      <c r="G44" s="35"/>
      <c r="H44" s="35"/>
      <c r="I44" s="35"/>
      <c r="J44" s="35"/>
      <c r="K44" s="35"/>
      <c r="L44" s="36"/>
      <c r="M44" s="15"/>
      <c r="R44" s="15">
        <f>U27*4</f>
        <v>12</v>
      </c>
      <c r="S44" s="15" t="s">
        <v>26</v>
      </c>
      <c r="T44" s="15"/>
    </row>
    <row r="45" spans="1:26" x14ac:dyDescent="0.25">
      <c r="R45" s="22">
        <v>3.472222222222222E-3</v>
      </c>
      <c r="S45" s="13" t="s">
        <v>29</v>
      </c>
    </row>
    <row r="46" spans="1:26" x14ac:dyDescent="0.25">
      <c r="D46" s="37"/>
      <c r="E46" s="38"/>
      <c r="F46" s="38"/>
      <c r="R46" s="22">
        <v>1.3888888888888889E-3</v>
      </c>
    </row>
    <row r="47" spans="1:26" x14ac:dyDescent="0.25">
      <c r="K47" s="22"/>
      <c r="R47" s="22">
        <v>3.472222222222222E-3</v>
      </c>
      <c r="S47" t="s">
        <v>33</v>
      </c>
    </row>
    <row r="48" spans="1:26" x14ac:dyDescent="0.25">
      <c r="R48" s="22">
        <v>8.3333333333333332E-3</v>
      </c>
      <c r="S48" t="s">
        <v>34</v>
      </c>
    </row>
    <row r="50" spans="18:18" x14ac:dyDescent="0.25">
      <c r="R50">
        <f>21-7</f>
        <v>14</v>
      </c>
    </row>
    <row r="51" spans="18:18" x14ac:dyDescent="0.25">
      <c r="R51">
        <f>31-21</f>
        <v>10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workbookViewId="0">
      <selection activeCell="D36" sqref="D36"/>
    </sheetView>
  </sheetViews>
  <sheetFormatPr defaultRowHeight="15" x14ac:dyDescent="0.25"/>
  <cols>
    <col min="2" max="2" width="24.28515625" customWidth="1"/>
    <col min="3" max="3" width="15.28515625" customWidth="1"/>
    <col min="4" max="4" width="24.28515625" bestFit="1" customWidth="1"/>
    <col min="5" max="5" width="13.140625" customWidth="1"/>
    <col min="6" max="6" width="15.140625" customWidth="1"/>
    <col min="7" max="7" width="15.5703125" customWidth="1"/>
  </cols>
  <sheetData>
    <row r="1" spans="2:7" x14ac:dyDescent="0.25">
      <c r="B1" s="54" t="s">
        <v>67</v>
      </c>
    </row>
    <row r="2" spans="2:7" x14ac:dyDescent="0.25">
      <c r="B2" s="55" t="s">
        <v>37</v>
      </c>
      <c r="C2" s="53"/>
      <c r="D2" s="55" t="s">
        <v>47</v>
      </c>
    </row>
    <row r="3" spans="2:7" x14ac:dyDescent="0.25">
      <c r="B3" s="15" t="s">
        <v>38</v>
      </c>
      <c r="C3" s="12"/>
      <c r="D3" s="15" t="s">
        <v>48</v>
      </c>
    </row>
    <row r="4" spans="2:7" x14ac:dyDescent="0.25">
      <c r="B4" s="15" t="s">
        <v>39</v>
      </c>
      <c r="C4" s="12"/>
      <c r="D4" s="15" t="s">
        <v>49</v>
      </c>
    </row>
    <row r="5" spans="2:7" x14ac:dyDescent="0.25">
      <c r="B5" s="15" t="s">
        <v>40</v>
      </c>
      <c r="C5" s="12"/>
      <c r="D5" s="15" t="s">
        <v>50</v>
      </c>
    </row>
    <row r="6" spans="2:7" x14ac:dyDescent="0.25">
      <c r="B6" s="15" t="s">
        <v>41</v>
      </c>
      <c r="C6" s="12"/>
      <c r="D6" s="15" t="s">
        <v>51</v>
      </c>
    </row>
    <row r="7" spans="2:7" x14ac:dyDescent="0.25">
      <c r="B7" s="15" t="s">
        <v>42</v>
      </c>
      <c r="C7" s="12"/>
      <c r="D7" s="15" t="s">
        <v>52</v>
      </c>
    </row>
    <row r="8" spans="2:7" x14ac:dyDescent="0.25">
      <c r="B8" s="15" t="s">
        <v>43</v>
      </c>
      <c r="C8" s="12"/>
      <c r="D8" s="15" t="s">
        <v>53</v>
      </c>
    </row>
    <row r="9" spans="2:7" x14ac:dyDescent="0.25">
      <c r="B9" s="15" t="s">
        <v>44</v>
      </c>
      <c r="C9" s="12"/>
      <c r="D9" s="15" t="s">
        <v>54</v>
      </c>
    </row>
    <row r="10" spans="2:7" x14ac:dyDescent="0.25">
      <c r="B10" s="15" t="s">
        <v>45</v>
      </c>
      <c r="C10" s="12"/>
      <c r="D10" s="15" t="s">
        <v>55</v>
      </c>
    </row>
    <row r="11" spans="2:7" x14ac:dyDescent="0.25">
      <c r="B11" s="15" t="s">
        <v>46</v>
      </c>
      <c r="C11" s="12"/>
      <c r="D11" s="15" t="s">
        <v>56</v>
      </c>
      <c r="E11" s="12"/>
      <c r="F11" s="12"/>
      <c r="G11" s="12"/>
    </row>
    <row r="12" spans="2:7" x14ac:dyDescent="0.25">
      <c r="B12" s="15"/>
      <c r="C12" s="12"/>
      <c r="D12" s="15" t="s">
        <v>57</v>
      </c>
      <c r="E12" s="12"/>
      <c r="F12" s="12"/>
      <c r="G12" s="12"/>
    </row>
    <row r="13" spans="2:7" x14ac:dyDescent="0.25">
      <c r="C13" s="53"/>
      <c r="D13" s="53"/>
      <c r="E13" s="12"/>
      <c r="F13" s="50"/>
      <c r="G13" s="50"/>
    </row>
    <row r="14" spans="2:7" x14ac:dyDescent="0.25">
      <c r="B14" s="54" t="s">
        <v>66</v>
      </c>
      <c r="C14" s="51"/>
      <c r="D14" s="51"/>
      <c r="E14" s="49"/>
      <c r="F14" s="52"/>
      <c r="G14" s="52"/>
    </row>
    <row r="15" spans="2:7" x14ac:dyDescent="0.25">
      <c r="B15" s="15" t="s">
        <v>59</v>
      </c>
      <c r="C15" s="15" t="s">
        <v>60</v>
      </c>
      <c r="D15" s="15" t="s">
        <v>61</v>
      </c>
      <c r="E15" s="49"/>
      <c r="F15" s="52"/>
      <c r="G15" s="52"/>
    </row>
    <row r="16" spans="2:7" x14ac:dyDescent="0.25">
      <c r="B16" s="15" t="s">
        <v>62</v>
      </c>
      <c r="C16" s="15" t="s">
        <v>63</v>
      </c>
      <c r="D16" s="15">
        <v>20</v>
      </c>
      <c r="E16" s="49"/>
      <c r="F16" s="52"/>
      <c r="G16" s="52"/>
    </row>
    <row r="17" spans="1:7" x14ac:dyDescent="0.25">
      <c r="B17" s="15" t="s">
        <v>63</v>
      </c>
      <c r="C17" s="15" t="s">
        <v>62</v>
      </c>
      <c r="D17" s="15">
        <v>20</v>
      </c>
      <c r="E17" s="49"/>
      <c r="F17" s="52"/>
      <c r="G17" s="52"/>
    </row>
    <row r="18" spans="1:7" x14ac:dyDescent="0.25">
      <c r="B18" s="15" t="s">
        <v>63</v>
      </c>
      <c r="C18" s="15" t="s">
        <v>46</v>
      </c>
      <c r="D18" s="15">
        <v>20</v>
      </c>
      <c r="E18" s="49"/>
      <c r="F18" s="52"/>
      <c r="G18" s="52"/>
    </row>
    <row r="19" spans="1:7" x14ac:dyDescent="0.25">
      <c r="B19" s="15" t="s">
        <v>46</v>
      </c>
      <c r="C19" s="15" t="s">
        <v>63</v>
      </c>
      <c r="D19" s="15">
        <v>20</v>
      </c>
      <c r="E19" s="49"/>
      <c r="F19" s="52"/>
      <c r="G19" s="52"/>
    </row>
    <row r="20" spans="1:7" x14ac:dyDescent="0.25">
      <c r="B20" s="15" t="s">
        <v>62</v>
      </c>
      <c r="C20" s="15" t="s">
        <v>64</v>
      </c>
      <c r="D20" s="15">
        <v>20</v>
      </c>
      <c r="E20" s="49"/>
      <c r="F20" s="52"/>
      <c r="G20" s="52"/>
    </row>
    <row r="21" spans="1:7" x14ac:dyDescent="0.25">
      <c r="B21" s="15" t="s">
        <v>64</v>
      </c>
      <c r="C21" s="15" t="s">
        <v>62</v>
      </c>
      <c r="D21" s="15">
        <v>20</v>
      </c>
      <c r="E21" s="49"/>
      <c r="F21" s="52"/>
      <c r="G21" s="52"/>
    </row>
    <row r="22" spans="1:7" x14ac:dyDescent="0.25">
      <c r="B22" s="15" t="s">
        <v>62</v>
      </c>
      <c r="C22" s="15" t="s">
        <v>65</v>
      </c>
      <c r="D22" s="15">
        <v>20</v>
      </c>
      <c r="E22" s="49"/>
      <c r="F22" s="52"/>
      <c r="G22" s="52"/>
    </row>
    <row r="23" spans="1:7" x14ac:dyDescent="0.25">
      <c r="B23" s="15" t="s">
        <v>65</v>
      </c>
      <c r="C23" s="15" t="s">
        <v>62</v>
      </c>
      <c r="D23" s="15">
        <v>20</v>
      </c>
      <c r="E23" s="49"/>
      <c r="F23" s="52"/>
      <c r="G23" s="52"/>
    </row>
    <row r="24" spans="1:7" x14ac:dyDescent="0.25">
      <c r="A24" s="12"/>
      <c r="B24" s="15"/>
      <c r="C24" s="15"/>
      <c r="D24" s="15"/>
      <c r="E24" s="49"/>
      <c r="F24" s="52"/>
      <c r="G24" s="52"/>
    </row>
    <row r="25" spans="1:7" x14ac:dyDescent="0.25">
      <c r="A25" s="12"/>
      <c r="B25" s="12"/>
      <c r="C25" s="52"/>
      <c r="D25" s="52"/>
      <c r="E25" s="49"/>
      <c r="F25" s="52"/>
      <c r="G25" s="52"/>
    </row>
    <row r="26" spans="1:7" x14ac:dyDescent="0.25">
      <c r="A26" s="12"/>
      <c r="B26" s="12"/>
      <c r="C26" s="49"/>
      <c r="D26" s="49" t="s">
        <v>58</v>
      </c>
      <c r="E26" s="49"/>
      <c r="F26" s="52"/>
      <c r="G26" s="52"/>
    </row>
    <row r="27" spans="1:7" x14ac:dyDescent="0.25">
      <c r="C27" s="49"/>
      <c r="D27" s="49"/>
      <c r="E27" s="49"/>
      <c r="F27" s="49"/>
      <c r="G27" s="49"/>
    </row>
    <row r="28" spans="1:7" x14ac:dyDescent="0.25">
      <c r="C28" s="49"/>
      <c r="D28" s="49"/>
      <c r="E28" s="49"/>
      <c r="F28" s="49"/>
      <c r="G28" s="49"/>
    </row>
    <row r="29" spans="1:7" x14ac:dyDescent="0.25">
      <c r="C29" s="49"/>
      <c r="D29" s="49"/>
      <c r="E29" s="49"/>
      <c r="F29" s="49"/>
      <c r="G29" s="49"/>
    </row>
    <row r="30" spans="1:7" x14ac:dyDescent="0.25">
      <c r="C30" s="49"/>
      <c r="D30" s="49"/>
      <c r="E30" s="49"/>
      <c r="F30" s="49"/>
      <c r="G30" s="49"/>
    </row>
    <row r="31" spans="1:7" x14ac:dyDescent="0.25">
      <c r="C31" s="49"/>
      <c r="D31" s="49"/>
      <c r="E31" s="49"/>
      <c r="F31" s="49"/>
      <c r="G31" s="49"/>
    </row>
    <row r="32" spans="1:7" x14ac:dyDescent="0.25">
      <c r="C32" s="49"/>
      <c r="D32" s="49"/>
      <c r="E32" s="49"/>
      <c r="F32" s="49"/>
      <c r="G32" s="49"/>
    </row>
    <row r="33" spans="3:7" x14ac:dyDescent="0.25">
      <c r="C33" s="49"/>
      <c r="D33" s="49"/>
      <c r="E33" s="49"/>
      <c r="F33" s="49"/>
      <c r="G33" s="49"/>
    </row>
    <row r="34" spans="3:7" x14ac:dyDescent="0.25">
      <c r="C34" s="49"/>
      <c r="D34" s="49"/>
      <c r="E34" s="49"/>
      <c r="F34" s="49"/>
      <c r="G34" s="49"/>
    </row>
    <row r="35" spans="3:7" x14ac:dyDescent="0.25">
      <c r="C35" s="49"/>
      <c r="D35" s="49"/>
      <c r="E35" s="49"/>
      <c r="F35" s="49"/>
      <c r="G35" s="49"/>
    </row>
    <row r="36" spans="3:7" x14ac:dyDescent="0.25">
      <c r="C36" s="49"/>
      <c r="D36" s="49"/>
      <c r="E36" s="49"/>
      <c r="F36" s="49"/>
      <c r="G36" s="49"/>
    </row>
    <row r="37" spans="3:7" x14ac:dyDescent="0.25">
      <c r="C37" s="49"/>
      <c r="D37" s="49"/>
      <c r="E37" s="49"/>
      <c r="F37" s="49"/>
      <c r="G37" s="49"/>
    </row>
    <row r="38" spans="3:7" x14ac:dyDescent="0.25">
      <c r="C38" s="49"/>
      <c r="D38" s="49"/>
      <c r="E38" s="49"/>
      <c r="F38" s="49"/>
      <c r="G38" s="49"/>
    </row>
    <row r="39" spans="3:7" x14ac:dyDescent="0.25">
      <c r="C39" s="49"/>
      <c r="D39" s="49"/>
      <c r="E39" s="49"/>
      <c r="F39" s="49"/>
      <c r="G39" s="49"/>
    </row>
    <row r="40" spans="3:7" x14ac:dyDescent="0.25">
      <c r="C40" s="49"/>
      <c r="D40" s="49"/>
      <c r="E40" s="49"/>
      <c r="F40" s="49"/>
      <c r="G40" s="49"/>
    </row>
    <row r="41" spans="3:7" x14ac:dyDescent="0.25">
      <c r="C41" s="49"/>
      <c r="D41" s="49"/>
      <c r="E41" s="49"/>
      <c r="F41" s="49"/>
      <c r="G41" s="49"/>
    </row>
    <row r="42" spans="3:7" x14ac:dyDescent="0.25">
      <c r="C42" s="49"/>
      <c r="D42" s="49"/>
      <c r="E42" s="49"/>
      <c r="F42" s="49"/>
      <c r="G42" s="49"/>
    </row>
    <row r="43" spans="3:7" x14ac:dyDescent="0.25">
      <c r="C43" s="49"/>
      <c r="D43" s="49"/>
      <c r="E43" s="49"/>
      <c r="F43" s="49"/>
      <c r="G43" s="49"/>
    </row>
    <row r="44" spans="3:7" x14ac:dyDescent="0.25">
      <c r="C44" s="49"/>
      <c r="D44" s="49"/>
      <c r="E44" s="49"/>
      <c r="F44" s="49"/>
      <c r="G44" s="49"/>
    </row>
    <row r="45" spans="3:7" x14ac:dyDescent="0.25">
      <c r="C45" s="49"/>
      <c r="D45" s="49"/>
      <c r="E45" s="49"/>
      <c r="F45" s="49"/>
      <c r="G45" s="49"/>
    </row>
    <row r="46" spans="3:7" x14ac:dyDescent="0.25">
      <c r="C46" s="49"/>
      <c r="D46" s="49"/>
      <c r="E46" s="49"/>
      <c r="F46" s="49"/>
      <c r="G46" s="49"/>
    </row>
    <row r="47" spans="3:7" x14ac:dyDescent="0.25">
      <c r="C47" s="49"/>
      <c r="D47" s="49"/>
      <c r="E47" s="49"/>
      <c r="F47" s="49"/>
      <c r="G47" s="49"/>
    </row>
    <row r="48" spans="3:7" x14ac:dyDescent="0.25">
      <c r="C48" s="49"/>
      <c r="D48" s="49"/>
      <c r="E48" s="49"/>
      <c r="F48" s="49"/>
      <c r="G48" s="49"/>
    </row>
    <row r="49" spans="3:7" x14ac:dyDescent="0.25">
      <c r="C49" s="49"/>
      <c r="D49" s="49"/>
      <c r="E49" s="49"/>
      <c r="F49" s="49"/>
      <c r="G49" s="49"/>
    </row>
    <row r="50" spans="3:7" x14ac:dyDescent="0.25">
      <c r="C50" s="49"/>
      <c r="D50" s="49"/>
      <c r="E50" s="49"/>
      <c r="F50" s="49"/>
      <c r="G50" s="49"/>
    </row>
    <row r="51" spans="3:7" x14ac:dyDescent="0.25">
      <c r="C51" s="49"/>
      <c r="D51" s="49"/>
      <c r="E51" s="49"/>
      <c r="F51" s="49"/>
      <c r="G51" s="49"/>
    </row>
    <row r="52" spans="3:7" x14ac:dyDescent="0.25">
      <c r="C52" s="49"/>
      <c r="D52" s="49"/>
      <c r="E52" s="49"/>
      <c r="F52" s="49"/>
      <c r="G52" s="49"/>
    </row>
    <row r="53" spans="3:7" x14ac:dyDescent="0.25">
      <c r="C53" s="49"/>
      <c r="D53" s="49"/>
      <c r="E53" s="49"/>
      <c r="F53" s="49"/>
      <c r="G53" s="49"/>
    </row>
    <row r="54" spans="3:7" x14ac:dyDescent="0.25">
      <c r="C54" s="49"/>
      <c r="D54" s="49"/>
      <c r="E54" s="49"/>
      <c r="F54" s="49"/>
      <c r="G54" s="49"/>
    </row>
    <row r="55" spans="3:7" x14ac:dyDescent="0.25">
      <c r="C55" s="49"/>
      <c r="D55" s="49"/>
      <c r="E55" s="49"/>
      <c r="F55" s="49"/>
      <c r="G55" s="49"/>
    </row>
    <row r="56" spans="3:7" x14ac:dyDescent="0.25">
      <c r="C56" s="49"/>
      <c r="D56" s="49"/>
      <c r="E56" s="49"/>
      <c r="F56" s="49"/>
      <c r="G56" s="49"/>
    </row>
    <row r="57" spans="3:7" x14ac:dyDescent="0.25">
      <c r="C57" s="49"/>
      <c r="D57" s="49"/>
      <c r="E57" s="49"/>
      <c r="F57" s="49"/>
      <c r="G57" s="49"/>
    </row>
    <row r="58" spans="3:7" x14ac:dyDescent="0.25">
      <c r="C58" s="49"/>
      <c r="D58" s="49"/>
      <c r="E58" s="49"/>
      <c r="F58" s="49"/>
      <c r="G58" s="49"/>
    </row>
    <row r="59" spans="3:7" x14ac:dyDescent="0.25">
      <c r="C59" s="49"/>
      <c r="D59" s="49"/>
      <c r="E59" s="49"/>
      <c r="F59" s="49"/>
      <c r="G59" s="49"/>
    </row>
    <row r="60" spans="3:7" x14ac:dyDescent="0.25">
      <c r="C60" s="49"/>
      <c r="D60" s="49"/>
      <c r="E60" s="49"/>
      <c r="F60" s="49"/>
      <c r="G60" s="49"/>
    </row>
    <row r="61" spans="3:7" x14ac:dyDescent="0.25">
      <c r="C61" s="49"/>
      <c r="D61" s="49"/>
      <c r="E61" s="49"/>
      <c r="F61" s="49"/>
      <c r="G61" s="49"/>
    </row>
    <row r="62" spans="3:7" x14ac:dyDescent="0.25">
      <c r="C62" s="49"/>
      <c r="D62" s="49"/>
      <c r="E62" s="49"/>
      <c r="F62" s="49"/>
      <c r="G62" s="49"/>
    </row>
    <row r="63" spans="3:7" x14ac:dyDescent="0.25">
      <c r="C63" s="49"/>
      <c r="D63" s="49"/>
      <c r="E63" s="49"/>
      <c r="F63" s="49"/>
      <c r="G63" s="49"/>
    </row>
    <row r="64" spans="3:7" x14ac:dyDescent="0.25">
      <c r="C64" s="49"/>
      <c r="D64" s="49"/>
      <c r="E64" s="49"/>
      <c r="F64" s="49"/>
      <c r="G64" s="49"/>
    </row>
    <row r="65" spans="3:7" x14ac:dyDescent="0.25">
      <c r="C65" s="49"/>
      <c r="D65" s="49"/>
      <c r="E65" s="49"/>
      <c r="F65" s="49"/>
      <c r="G65" s="49"/>
    </row>
    <row r="66" spans="3:7" x14ac:dyDescent="0.25">
      <c r="C66" s="49"/>
      <c r="D66" s="49"/>
      <c r="E66" s="49"/>
      <c r="F66" s="49"/>
      <c r="G66" s="49"/>
    </row>
    <row r="67" spans="3:7" x14ac:dyDescent="0.25">
      <c r="C67" s="49"/>
      <c r="D67" s="49"/>
      <c r="E67" s="49"/>
      <c r="F67" s="49"/>
      <c r="G67" s="49"/>
    </row>
    <row r="68" spans="3:7" x14ac:dyDescent="0.25">
      <c r="C68" s="49"/>
      <c r="D68" s="49"/>
      <c r="E68" s="49"/>
      <c r="F68" s="49"/>
      <c r="G68" s="49"/>
    </row>
    <row r="69" spans="3:7" x14ac:dyDescent="0.25">
      <c r="C69" s="49"/>
      <c r="D69" s="49"/>
      <c r="E69" s="49"/>
      <c r="F69" s="49"/>
      <c r="G69" s="49"/>
    </row>
    <row r="70" spans="3:7" x14ac:dyDescent="0.25">
      <c r="C70" s="49"/>
      <c r="D70" s="49"/>
      <c r="E70" s="49"/>
      <c r="F70" s="49"/>
      <c r="G70" s="49"/>
    </row>
    <row r="71" spans="3:7" x14ac:dyDescent="0.25">
      <c r="C71" s="49"/>
      <c r="D71" s="49"/>
      <c r="E71" s="49"/>
      <c r="F71" s="49"/>
      <c r="G71" s="49"/>
    </row>
    <row r="72" spans="3:7" x14ac:dyDescent="0.25">
      <c r="C72" s="49"/>
      <c r="D72" s="49"/>
      <c r="E72" s="49"/>
      <c r="F72" s="49"/>
      <c r="G72" s="49"/>
    </row>
    <row r="73" spans="3:7" x14ac:dyDescent="0.25">
      <c r="C73" s="49"/>
      <c r="D73" s="49"/>
      <c r="E73" s="49"/>
      <c r="F73" s="49"/>
      <c r="G73" s="49"/>
    </row>
    <row r="74" spans="3:7" x14ac:dyDescent="0.25">
      <c r="C74" s="49"/>
      <c r="D74" s="49"/>
      <c r="E74" s="49"/>
      <c r="F74" s="49"/>
      <c r="G74" s="49"/>
    </row>
    <row r="75" spans="3:7" x14ac:dyDescent="0.25">
      <c r="C75" s="49"/>
      <c r="D75" s="49"/>
      <c r="E75" s="49"/>
      <c r="F75" s="49"/>
      <c r="G75" s="49"/>
    </row>
    <row r="76" spans="3:7" x14ac:dyDescent="0.25">
      <c r="C76" s="49"/>
      <c r="D76" s="49"/>
      <c r="E76" s="49"/>
      <c r="F76" s="49"/>
      <c r="G76" s="49"/>
    </row>
    <row r="77" spans="3:7" x14ac:dyDescent="0.25">
      <c r="C77" s="49"/>
      <c r="D77" s="49"/>
      <c r="E77" s="49"/>
      <c r="F77" s="49"/>
      <c r="G77" s="49"/>
    </row>
    <row r="78" spans="3:7" x14ac:dyDescent="0.25">
      <c r="C78" s="49"/>
      <c r="D78" s="49"/>
      <c r="E78" s="49"/>
      <c r="F78" s="49"/>
      <c r="G78" s="49"/>
    </row>
    <row r="79" spans="3:7" x14ac:dyDescent="0.25">
      <c r="C79" s="49"/>
      <c r="D79" s="49"/>
      <c r="E79" s="49"/>
      <c r="F79" s="49"/>
      <c r="G79" s="49"/>
    </row>
    <row r="80" spans="3:7" x14ac:dyDescent="0.25">
      <c r="C80" s="49"/>
      <c r="D80" s="49"/>
      <c r="E80" s="49"/>
      <c r="F80" s="49"/>
      <c r="G80" s="49"/>
    </row>
    <row r="81" spans="3:7" x14ac:dyDescent="0.25">
      <c r="C81" s="49"/>
      <c r="D81" s="49"/>
      <c r="E81" s="49"/>
      <c r="F81" s="49"/>
      <c r="G81" s="49"/>
    </row>
  </sheetData>
  <mergeCells count="1">
    <mergeCell ref="F13:G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KALAMASSERY</vt:lpstr>
      <vt:lpstr>ROUTE &amp; FARE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2026-09-02T05:18:11Z</dcterms:created>
  <dcterms:modified xsi:type="dcterms:W3CDTF">2026-09-02T05:23:28Z</dcterms:modified>
</cp:coreProperties>
</file>